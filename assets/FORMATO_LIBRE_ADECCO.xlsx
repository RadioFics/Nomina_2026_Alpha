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3.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4.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drawings/drawing5.xml" ContentType="application/vnd.openxmlformats-officedocument.drawing+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3" activeTab="4" autoFilterDateGrouping="1"/>
  </bookViews>
  <sheets>
    <sheet xmlns:r="http://schemas.openxmlformats.org/officeDocument/2006/relationships" name="INSTRUCCIONES" sheetId="1" state="visible" r:id="rId1"/>
    <sheet xmlns:r="http://schemas.openxmlformats.org/officeDocument/2006/relationships" name="matriz de conceptos" sheetId="2" state="visible" r:id="rId2"/>
    <sheet xmlns:r="http://schemas.openxmlformats.org/officeDocument/2006/relationships" name="Ocasionales" sheetId="3" state="visible" r:id="rId3"/>
    <sheet xmlns:r="http://schemas.openxmlformats.org/officeDocument/2006/relationships" name="Fijas" sheetId="4" state="visible" r:id="rId4"/>
    <sheet xmlns:r="http://schemas.openxmlformats.org/officeDocument/2006/relationships" name="Ausentismos Vacaciones" sheetId="5" state="visible" r:id="rId5"/>
    <sheet xmlns:r="http://schemas.openxmlformats.org/officeDocument/2006/relationships" name="Maestro Original" sheetId="6" state="visible" r:id="rId6"/>
    <sheet xmlns:r="http://schemas.openxmlformats.org/officeDocument/2006/relationships" name="Cambios Maestro" sheetId="7" state="visible" r:id="rId7"/>
    <sheet xmlns:r="http://schemas.openxmlformats.org/officeDocument/2006/relationships" name="Cambios e Ingresos" sheetId="8" state="visible" r:id="rId8"/>
  </sheets>
  <definedNames>
    <definedName name="busquedaOcacionales">conceptos[[descripción general]:[valor]]</definedName>
    <definedName name="cam">cambios[descripción general]</definedName>
    <definedName name="cambiosbasicos">#REF!</definedName>
    <definedName name="Cedula">maestro2[valor]</definedName>
    <definedName name="corte">#REF!</definedName>
    <definedName name="descripcion">conceptos[descripción general]</definedName>
    <definedName name="DH">#REF!</definedName>
    <definedName name="empleados">maestro2[Nombre]</definedName>
    <definedName name="EMPLEADOSBUSCAR">maestro2[Nombre]</definedName>
    <definedName name="fijas">Tablafijas[descripción general]</definedName>
    <definedName name="IDENTIFICACIONES">maestro2[Cedula]</definedName>
    <definedName name="Incapacidades">Tabla10[Tipo]</definedName>
    <definedName name="maestro">#REF!</definedName>
    <definedName name="Novedades">conceptos[codigo]</definedName>
    <definedName name="Ocacionales">conceptos[descripción general]</definedName>
    <definedName name="CORTE" localSheetId="2">#REF!</definedName>
    <definedName name="descripcion" localSheetId="2">conceptos[descripción general]</definedName>
    <definedName name="DH" localSheetId="2">#REF!</definedName>
    <definedName name="busquedaOcacionales" localSheetId="3">conceptos[[descripción general]:[valor]]</definedName>
    <definedName name="Cedula" localSheetId="3">maestro2[valor]</definedName>
    <definedName name="CORTE" localSheetId="3">#REF!</definedName>
    <definedName name="descripcion" localSheetId="3">conceptos[descripción general]</definedName>
    <definedName name="DH" localSheetId="3">#REF!</definedName>
    <definedName name="empleados" localSheetId="3">maestro2[Nombre]</definedName>
    <definedName name="EMPLEADOSBUSCAR" localSheetId="3">maestro2[Nombre]</definedName>
    <definedName name="Novedades" localSheetId="3">conceptos[codigo]</definedName>
    <definedName name="Ocacionales" localSheetId="3">conceptos[descripción general]</definedName>
    <definedName name="busquedaOcacionales" localSheetId="4">conceptos[[descripción general]:[valor]]</definedName>
    <definedName name="Cedula" localSheetId="4">maestro2[valor]</definedName>
    <definedName name="CORTE" localSheetId="4">#REF!</definedName>
    <definedName name="descripcion" localSheetId="4">conceptos[descripción general]</definedName>
    <definedName name="DH" localSheetId="4">#REF!</definedName>
    <definedName name="empleados" localSheetId="4">maestro2[Nombre]</definedName>
    <definedName name="EMPLEADOSBUSCAR" localSheetId="4">maestro2[Nombre]</definedName>
    <definedName name="fijas" localSheetId="4">Tablafijas[descripción general]</definedName>
    <definedName name="Novedades" localSheetId="4">conceptos[codigo]</definedName>
    <definedName name="Ocacionales" localSheetId="4">conceptos[descripción general]</definedName>
    <definedName name="busquedaOcacionales" localSheetId="5">conceptos[[descripción general]:[valor]]</definedName>
    <definedName name="cam" localSheetId="5">cambios[descripción general]</definedName>
    <definedName name="Cedula" localSheetId="5">#REF!</definedName>
    <definedName name="CORTE" localSheetId="5">#REF!</definedName>
    <definedName name="descripcion" localSheetId="5">conceptos[descripción general]</definedName>
    <definedName name="DH" localSheetId="5">#REF!</definedName>
    <definedName name="empleados" localSheetId="5">#REF!</definedName>
    <definedName name="EMPLEADOSBUSCAR" localSheetId="5">#REF!</definedName>
    <definedName name="fijas" localSheetId="5">Tablafijas[descripción general]</definedName>
    <definedName name="Incapacidades" localSheetId="5">Tabla10[Tipo]</definedName>
    <definedName name="Novedades" localSheetId="5">conceptos[codigo]</definedName>
    <definedName name="Ocacionales" localSheetId="5">conceptos[descripción general]</definedName>
    <definedName name="_xlnm._FilterDatabase" localSheetId="5" hidden="1">'Maestro Original'!$A$2:$BY$157</definedName>
    <definedName name="busquedaOcacionales" localSheetId="7">conceptos[[descripción general]:[valor]]</definedName>
    <definedName name="Cedula" localSheetId="7">maestro2[valor]</definedName>
    <definedName name="CORTE" localSheetId="7">#REF!</definedName>
    <definedName name="descripcion" localSheetId="7">conceptos[descripción general]</definedName>
    <definedName name="DH" localSheetId="7">#REF!</definedName>
    <definedName name="empleados" localSheetId="7">maestro2[Nombre]</definedName>
    <definedName name="EMPLEADOSBUSCAR" localSheetId="7">maestro2[Nombre]</definedName>
    <definedName name="fijas" localSheetId="7">Tablafijas[descripción general]</definedName>
    <definedName name="Incapacidades" localSheetId="7">Tabla10[Tipo]</definedName>
    <definedName name="Novedades" localSheetId="7">conceptos[codigo]</definedName>
    <definedName name="Ocacionales" localSheetId="7">conceptos[descripción general]</definedName>
  </definedNames>
  <calcPr calcId="191029" fullCalcOnLoad="1" iterateDelta="0.0001"/>
</workbook>
</file>

<file path=xl/styles.xml><?xml version="1.0" encoding="utf-8"?>
<styleSheet xmlns="http://schemas.openxmlformats.org/spreadsheetml/2006/main">
  <numFmts count="9">
    <numFmt numFmtId="164" formatCode="_-* #,##0.00\ _€_-;\-* #,##0.00\ _€_-;_-* \-??\ _€_-;_-@_-"/>
    <numFmt numFmtId="165" formatCode="0.0"/>
    <numFmt numFmtId="166" formatCode="_-&quot;$ &quot;* #,##0_-;&quot;-$ &quot;* #,##0_-;_-&quot;$ &quot;* \-??_-;_-@_-"/>
    <numFmt numFmtId="167" formatCode="m/d/yyyy"/>
    <numFmt numFmtId="168" formatCode="[$-C0A]#,##0.00;\-#,##0.00"/>
    <numFmt numFmtId="169" formatCode="_-&quot;$ &quot;* #,##0.00_-;&quot;-$ &quot;* #,##0.00_-;_-&quot;$ &quot;* \-??_-;_-@_-"/>
    <numFmt numFmtId="170" formatCode="_-* #,##0.00_-;\-* #,##0.00_-;_-* \-??_-;_-@_-"/>
    <numFmt numFmtId="171" formatCode="_-\$* #,##0_-;&quot;-$&quot;* #,##0_-;_-\$* \-_-;_-@_-"/>
    <numFmt numFmtId="172" formatCode="_(* #,##0.00_);_(* \(#,##0.00\);_(* \-??_);_(@_)"/>
  </numFmts>
  <fonts count="37">
    <font>
      <name val="Calibri"/>
      <charset val="1"/>
      <family val="2"/>
      <color theme="1"/>
      <sz val="11"/>
    </font>
    <font>
      <name val="Calibri"/>
      <charset val="1"/>
      <family val="2"/>
      <sz val="11"/>
    </font>
    <font>
      <name val="Calibri"/>
      <charset val="1"/>
      <family val="2"/>
      <color rgb="FF000000"/>
      <sz val="11"/>
    </font>
    <font>
      <name val="Arial"/>
      <charset val="1"/>
      <family val="2"/>
      <color rgb="FF000000"/>
      <sz val="10"/>
    </font>
    <font>
      <name val="Cambria"/>
      <charset val="1"/>
      <family val="2"/>
      <color theme="3"/>
      <sz val="18"/>
    </font>
    <font>
      <name val="Century Gothic"/>
      <charset val="1"/>
      <family val="2"/>
      <color theme="1"/>
      <sz val="10"/>
    </font>
    <font>
      <name val="Century Gothic"/>
      <charset val="1"/>
      <family val="2"/>
      <b val="1"/>
      <i val="1"/>
      <color rgb="FFFF0000"/>
      <sz val="10"/>
    </font>
    <font>
      <name val="Calibri"/>
      <charset val="1"/>
      <family val="2"/>
      <color theme="10"/>
      <sz val="11"/>
      <u val="single"/>
    </font>
    <font>
      <name val="Century Gothic"/>
      <charset val="1"/>
      <family val="2"/>
      <b val="1"/>
      <i val="1"/>
      <color theme="0" tint="-0.499984740745262"/>
      <sz val="10"/>
    </font>
    <font>
      <name val="Century Gothic"/>
      <charset val="1"/>
      <family val="2"/>
      <color theme="1"/>
      <sz val="8"/>
    </font>
    <font>
      <name val="Century Gothic"/>
      <charset val="1"/>
      <family val="2"/>
      <color theme="0"/>
      <sz val="8"/>
    </font>
    <font>
      <name val="Century Gothic"/>
      <charset val="1"/>
      <family val="2"/>
      <b val="1"/>
      <color theme="1"/>
      <sz val="8"/>
      <u val="single"/>
    </font>
    <font>
      <name val="Century Gothic"/>
      <charset val="1"/>
      <family val="2"/>
      <color theme="8" tint="0.7998901333658864"/>
      <sz val="8"/>
    </font>
    <font>
      <name val="Century Gothic"/>
      <charset val="1"/>
      <family val="2"/>
      <b val="1"/>
      <color theme="0"/>
      <sz val="8"/>
    </font>
    <font>
      <name val="Century Gothic"/>
      <charset val="1"/>
      <family val="2"/>
      <color theme="1"/>
      <sz val="9"/>
    </font>
    <font>
      <name val="Century Gothic"/>
      <charset val="1"/>
      <family val="2"/>
      <color theme="6" tint="0.5998718222602009"/>
      <sz val="9"/>
    </font>
    <font>
      <name val="Century Gothic"/>
      <charset val="1"/>
      <family val="2"/>
      <b val="1"/>
      <color theme="1" tint="0.1499984740745262"/>
      <sz val="11"/>
    </font>
    <font>
      <name val="Century Gothic"/>
      <charset val="1"/>
      <family val="2"/>
      <b val="1"/>
      <sz val="11"/>
    </font>
    <font>
      <name val="Century Gothic"/>
      <charset val="1"/>
      <family val="2"/>
      <color theme="6" tint="0.5998718222602009"/>
      <sz val="7"/>
    </font>
    <font>
      <name val="Century Gothic"/>
      <charset val="1"/>
      <family val="2"/>
      <b val="1"/>
      <color theme="8" tint="0.7998901333658864"/>
      <sz val="8"/>
    </font>
    <font>
      <name val="Century Gothic"/>
      <charset val="1"/>
      <family val="2"/>
      <color theme="3"/>
      <sz val="10"/>
    </font>
    <font>
      <name val="Century Gothic"/>
      <charset val="1"/>
      <family val="2"/>
      <color theme="0"/>
      <sz val="10"/>
    </font>
    <font>
      <name val="Century Gothic"/>
      <charset val="1"/>
      <family val="2"/>
      <color theme="1" tint="0.04989776299325541"/>
      <sz val="9"/>
    </font>
    <font>
      <name val="Tahoma"/>
      <charset val="1"/>
      <color rgb="FF000000"/>
      <sz val="6"/>
    </font>
    <font>
      <name val="Century Gothic"/>
      <charset val="1"/>
      <family val="2"/>
      <color rgb="FF000000"/>
      <sz val="9"/>
    </font>
    <font>
      <name val="Century Gothic"/>
      <charset val="1"/>
      <family val="2"/>
      <sz val="9"/>
    </font>
    <font>
      <name val="Tahoma"/>
      <charset val="1"/>
      <family val="2"/>
      <color rgb="FF000000"/>
      <sz val="6"/>
    </font>
    <font>
      <name val="Century Gothic"/>
      <charset val="1"/>
      <family val="2"/>
      <color rgb="FFFF0000"/>
      <sz val="9"/>
    </font>
    <font>
      <name val="Calibri"/>
      <charset val="1"/>
      <family val="2"/>
      <color rgb="FFFF0000"/>
      <sz val="11"/>
    </font>
    <font>
      <name val="Tahoma"/>
      <charset val="1"/>
      <family val="2"/>
      <b val="1"/>
      <color rgb="FFFFFFFF"/>
      <sz val="7"/>
    </font>
    <font>
      <name val="Calibri"/>
      <charset val="1"/>
      <family val="2"/>
      <b val="1"/>
      <color theme="1"/>
      <sz val="11"/>
    </font>
    <font>
      <name val="Century Gothic"/>
      <charset val="1"/>
      <family val="2"/>
      <b val="1"/>
      <color theme="1"/>
      <sz val="8"/>
    </font>
    <font>
      <name val="Century Gothic"/>
      <charset val="1"/>
      <family val="2"/>
      <color theme="1" tint="0.249885555589465"/>
      <sz val="8"/>
      <u val="single"/>
    </font>
    <font>
      <name val="Century Gothic"/>
      <charset val="1"/>
      <family val="2"/>
      <b val="1"/>
      <color theme="1" tint="0.249885555589465"/>
      <sz val="8"/>
      <u val="single"/>
    </font>
    <font>
      <name val="Century Gothic"/>
      <charset val="1"/>
      <family val="2"/>
      <b val="1"/>
      <color rgb="FF000000"/>
      <sz val="10"/>
    </font>
    <font>
      <name val="Calibri"/>
      <charset val="1"/>
      <family val="2"/>
      <color theme="1"/>
      <sz val="11"/>
    </font>
    <font>
      <name val="Calibri"/>
      <family val="2"/>
      <color rgb="FF000000"/>
      <sz val="11"/>
    </font>
  </fonts>
  <fills count="9">
    <fill>
      <patternFill/>
    </fill>
    <fill>
      <patternFill patternType="gray125"/>
    </fill>
    <fill>
      <patternFill patternType="solid">
        <fgColor theme="0"/>
        <bgColor rgb="FFF2F2F2"/>
      </patternFill>
    </fill>
    <fill>
      <patternFill patternType="solid">
        <fgColor theme="9" tint="0.7998901333658864"/>
        <bgColor rgb="FFF2F2F2"/>
      </patternFill>
    </fill>
    <fill>
      <patternFill patternType="solid">
        <fgColor theme="1" tint="0.04989776299325541"/>
        <bgColor rgb="FF000000"/>
      </patternFill>
    </fill>
    <fill>
      <patternFill patternType="solid">
        <fgColor theme="0" tint="-0.0499893185216834"/>
        <bgColor rgb="FFFDEADA"/>
      </patternFill>
    </fill>
    <fill>
      <patternFill patternType="solid">
        <fgColor theme="0" tint="-0.1499984740745262"/>
        <bgColor rgb="FFD3D3D3"/>
      </patternFill>
    </fill>
    <fill>
      <patternFill patternType="solid">
        <fgColor rgb="FFFFFF00"/>
        <bgColor rgb="FFFFFF00"/>
      </patternFill>
    </fill>
    <fill>
      <patternFill patternType="solid">
        <fgColor rgb="FF4682B4"/>
        <bgColor rgb="FF4F81BD"/>
      </patternFill>
    </fill>
  </fills>
  <borders count="11">
    <border>
      <left/>
      <right/>
      <top/>
      <bottom/>
      <diagonal/>
    </border>
    <border>
      <left style="thin">
        <color theme="4"/>
      </left>
      <right/>
      <top/>
      <bottom/>
      <diagonal/>
    </border>
    <border>
      <left style="thin">
        <color theme="0" tint="-0.1499984740745262"/>
      </left>
      <right style="thin">
        <color theme="0" tint="-0.1499984740745262"/>
      </right>
      <top style="thin">
        <color theme="0" tint="-0.1499984740745262"/>
      </top>
      <bottom style="thin">
        <color theme="0" tint="-0.1499984740745262"/>
      </bottom>
      <diagonal/>
    </border>
    <border>
      <left style="thin">
        <color theme="0" tint="-0.1499984740745262"/>
      </left>
      <right style="thin">
        <color theme="0" tint="-0.1499984740745262"/>
      </right>
      <top style="thin">
        <color theme="0" tint="-0.1499984740745262"/>
      </top>
      <bottom/>
      <diagonal/>
    </border>
    <border>
      <left style="thin">
        <color auto="1"/>
      </left>
      <right style="thin">
        <color auto="1"/>
      </right>
      <top style="thin">
        <color auto="1"/>
      </top>
      <bottom style="thin">
        <color auto="1"/>
      </bottom>
      <diagonal/>
    </border>
    <border>
      <left style="thin">
        <color theme="3"/>
      </left>
      <right style="thin">
        <color theme="3"/>
      </right>
      <top style="thin">
        <color theme="3"/>
      </top>
      <bottom style="thin">
        <color theme="3"/>
      </bottom>
      <diagonal/>
    </border>
    <border>
      <left style="thin">
        <color theme="3"/>
      </left>
      <right/>
      <top style="thin">
        <color theme="3"/>
      </top>
      <bottom style="thin">
        <color theme="3"/>
      </bottom>
      <diagonal/>
    </border>
    <border>
      <left/>
      <right style="thin">
        <color theme="3"/>
      </right>
      <top style="thin">
        <color theme="3"/>
      </top>
      <bottom style="thin">
        <color theme="3"/>
      </bottom>
      <diagonal/>
    </border>
    <border>
      <left style="thin">
        <color rgb="FFD3D3D3"/>
      </left>
      <right style="thin">
        <color rgb="FFD3D3D3"/>
      </right>
      <top style="thin">
        <color rgb="FFD3D3D3"/>
      </top>
      <bottom style="thin">
        <color rgb="FFD3D3D3"/>
      </bottom>
      <diagonal/>
    </border>
    <border>
      <left style="thin">
        <color auto="1"/>
      </left>
      <right style="thin">
        <color auto="1"/>
      </right>
      <top style="thin">
        <color auto="1"/>
      </top>
      <bottom/>
      <diagonal/>
    </border>
    <border>
      <left style="thin">
        <color rgb="FFD3D3D3"/>
      </left>
      <right style="thin">
        <color rgb="FFD3D3D3"/>
      </right>
      <top style="thin">
        <color rgb="FFD3D3D3"/>
      </top>
      <bottom/>
      <diagonal/>
    </border>
  </borders>
  <cellStyleXfs count="15">
    <xf numFmtId="0" fontId="35" fillId="0" borderId="0"/>
    <xf numFmtId="169" fontId="35" fillId="0" borderId="0"/>
    <xf numFmtId="0" fontId="7" fillId="0" borderId="0"/>
    <xf numFmtId="170" fontId="35" fillId="0" borderId="0"/>
    <xf numFmtId="171" fontId="35" fillId="0" borderId="0"/>
    <xf numFmtId="172" fontId="35" fillId="0" borderId="0"/>
    <xf numFmtId="170" fontId="35" fillId="0" borderId="0"/>
    <xf numFmtId="164" fontId="35" fillId="0" borderId="0"/>
    <xf numFmtId="0" fontId="35" fillId="0" borderId="0"/>
    <xf numFmtId="0" fontId="1" fillId="0" borderId="0"/>
    <xf numFmtId="0" fontId="2" fillId="0" borderId="0"/>
    <xf numFmtId="0" fontId="35" fillId="0" borderId="0"/>
    <xf numFmtId="0" fontId="3" fillId="0" borderId="0"/>
    <xf numFmtId="0" fontId="4" fillId="0" borderId="0"/>
    <xf numFmtId="0" fontId="30" fillId="0" borderId="0"/>
  </cellStyleXfs>
  <cellXfs count="110">
    <xf numFmtId="0" fontId="0" fillId="0" borderId="0" pivotButton="0" quotePrefix="0" xfId="0"/>
    <xf numFmtId="0" fontId="5" fillId="0" borderId="0" applyAlignment="1" pivotButton="0" quotePrefix="0" xfId="0">
      <alignment horizontal="left" vertical="top" wrapText="1"/>
    </xf>
    <xf numFmtId="0" fontId="5" fillId="0" borderId="0" applyAlignment="1" pivotButton="0" quotePrefix="0" xfId="0">
      <alignment horizontal="justify" vertical="top" wrapText="1"/>
    </xf>
    <xf numFmtId="0" fontId="5" fillId="0" borderId="0" pivotButton="0" quotePrefix="0" xfId="0"/>
    <xf numFmtId="0" fontId="5" fillId="2" borderId="0" pivotButton="0" quotePrefix="0" xfId="0"/>
    <xf numFmtId="0" fontId="6" fillId="0" borderId="0" applyAlignment="1" pivotButton="0" quotePrefix="0" xfId="0">
      <alignment horizontal="right"/>
    </xf>
    <xf numFmtId="0" fontId="7" fillId="0" borderId="0" applyAlignment="1" pivotButton="0" quotePrefix="0" xfId="2">
      <alignment vertical="top" wrapText="1"/>
    </xf>
    <xf numFmtId="0" fontId="5" fillId="0" borderId="0" applyAlignment="1" pivotButton="0" quotePrefix="0" xfId="0">
      <alignment vertical="top" wrapText="1"/>
    </xf>
    <xf numFmtId="0" fontId="7" fillId="0" borderId="0" applyAlignment="1" pivotButton="0" quotePrefix="0" xfId="2">
      <alignment horizontal="left" vertical="top" wrapText="1"/>
    </xf>
    <xf numFmtId="0" fontId="8" fillId="0" borderId="0" pivotButton="0" quotePrefix="0" xfId="0"/>
    <xf numFmtId="0" fontId="9" fillId="0" borderId="0" applyProtection="1" pivotButton="0" quotePrefix="0" xfId="0">
      <protection locked="0" hidden="0"/>
    </xf>
    <xf numFmtId="0" fontId="10" fillId="0" borderId="0" applyProtection="1" pivotButton="0" quotePrefix="0" xfId="0">
      <protection locked="0" hidden="0"/>
    </xf>
    <xf numFmtId="164" fontId="10" fillId="0" borderId="0" applyProtection="1" pivotButton="0" quotePrefix="0" xfId="0">
      <protection locked="0" hidden="0"/>
    </xf>
    <xf numFmtId="0" fontId="11" fillId="0" borderId="0" applyProtection="1" pivotButton="0" quotePrefix="0" xfId="0">
      <protection locked="0" hidden="0"/>
    </xf>
    <xf numFmtId="0" fontId="12" fillId="0" borderId="0" applyAlignment="1" applyProtection="1" pivotButton="0" quotePrefix="0" xfId="0">
      <alignment horizontal="center" vertical="center"/>
      <protection locked="0" hidden="0"/>
    </xf>
    <xf numFmtId="0" fontId="13" fillId="0" borderId="1" applyAlignment="1" applyProtection="1" pivotButton="0" quotePrefix="0" xfId="0">
      <alignment horizontal="center" vertical="center"/>
      <protection locked="0" hidden="0"/>
    </xf>
    <xf numFmtId="0" fontId="13" fillId="0" borderId="0" applyAlignment="1" applyProtection="1" pivotButton="0" quotePrefix="0" xfId="0">
      <alignment horizontal="center" vertical="center"/>
      <protection locked="0" hidden="0"/>
    </xf>
    <xf numFmtId="0" fontId="13" fillId="0" borderId="0" applyProtection="1" pivotButton="0" quotePrefix="0" xfId="0">
      <protection locked="0" hidden="0"/>
    </xf>
    <xf numFmtId="0" fontId="9" fillId="0" borderId="2" applyProtection="1" pivotButton="0" quotePrefix="0" xfId="0">
      <protection locked="0" hidden="0"/>
    </xf>
    <xf numFmtId="49" fontId="9" fillId="0" borderId="2" applyProtection="1" pivotButton="0" quotePrefix="0" xfId="0">
      <protection locked="0" hidden="0"/>
    </xf>
    <xf numFmtId="0" fontId="9" fillId="0" borderId="3" applyProtection="1" pivotButton="0" quotePrefix="0" xfId="0">
      <protection locked="0" hidden="0"/>
    </xf>
    <xf numFmtId="49" fontId="9" fillId="0" borderId="3" applyProtection="1" pivotButton="0" quotePrefix="0" xfId="0">
      <protection locked="0" hidden="0"/>
    </xf>
    <xf numFmtId="0" fontId="9" fillId="3" borderId="3" applyProtection="1" pivotButton="0" quotePrefix="0" xfId="0">
      <protection locked="0" hidden="0"/>
    </xf>
    <xf numFmtId="49" fontId="9" fillId="3" borderId="3" applyProtection="1" pivotButton="0" quotePrefix="0" xfId="0">
      <protection locked="0" hidden="0"/>
    </xf>
    <xf numFmtId="0" fontId="14" fillId="0" borderId="0" applyAlignment="1" applyProtection="1" pivotButton="0" quotePrefix="0" xfId="0">
      <alignment horizontal="left" vertical="center"/>
      <protection locked="0" hidden="0"/>
    </xf>
    <xf numFmtId="0" fontId="15" fillId="0" borderId="0" applyAlignment="1" applyProtection="1" pivotButton="0" quotePrefix="0" xfId="0">
      <alignment vertical="center"/>
      <protection locked="0" hidden="0"/>
    </xf>
    <xf numFmtId="0" fontId="18" fillId="0" borderId="0" applyAlignment="1" applyProtection="1" pivotButton="0" quotePrefix="0" xfId="0">
      <alignment horizontal="justify" vertical="center" wrapText="1"/>
      <protection locked="0" hidden="0"/>
    </xf>
    <xf numFmtId="0" fontId="15" fillId="0" borderId="0" applyAlignment="1" applyProtection="1" pivotButton="0" quotePrefix="0" xfId="0">
      <alignment horizontal="left" vertical="center"/>
      <protection locked="0" hidden="0"/>
    </xf>
    <xf numFmtId="3" fontId="14" fillId="0" borderId="0" applyAlignment="1" applyProtection="1" pivotButton="0" quotePrefix="0" xfId="0">
      <alignment horizontal="right" vertical="center"/>
      <protection locked="0" hidden="0"/>
    </xf>
    <xf numFmtId="0" fontId="19" fillId="4" borderId="4" applyAlignment="1" pivotButton="0" quotePrefix="0" xfId="0">
      <alignment horizontal="center" vertical="center"/>
    </xf>
    <xf numFmtId="0" fontId="20" fillId="0" borderId="0" applyAlignment="1" applyProtection="1" pivotButton="0" quotePrefix="0" xfId="0">
      <alignment horizontal="right" vertical="center" wrapText="1"/>
      <protection locked="1" hidden="1"/>
    </xf>
    <xf numFmtId="0" fontId="21" fillId="0" borderId="4" applyAlignment="1" applyProtection="1" pivotButton="0" quotePrefix="0" xfId="0">
      <alignment horizontal="right" vertical="center" wrapText="1"/>
      <protection locked="0" hidden="0"/>
    </xf>
    <xf numFmtId="0" fontId="20" fillId="5" borderId="4" applyAlignment="1" applyProtection="1" pivotButton="0" quotePrefix="0" xfId="0">
      <alignment horizontal="right" vertical="center" wrapText="1"/>
      <protection locked="1" hidden="1"/>
    </xf>
    <xf numFmtId="0" fontId="22" fillId="6" borderId="5" applyAlignment="1" applyProtection="1" pivotButton="0" quotePrefix="0" xfId="0">
      <alignment horizontal="center" vertical="center"/>
      <protection locked="0" hidden="0"/>
    </xf>
    <xf numFmtId="0" fontId="22" fillId="6" borderId="6" applyAlignment="1" applyProtection="1" pivotButton="0" quotePrefix="0" xfId="0">
      <alignment horizontal="center" vertical="center"/>
      <protection locked="0" hidden="0"/>
    </xf>
    <xf numFmtId="0" fontId="22" fillId="6" borderId="4" applyAlignment="1" applyProtection="1" pivotButton="0" quotePrefix="0" xfId="0">
      <alignment horizontal="center" vertical="center"/>
      <protection locked="0" hidden="0"/>
    </xf>
    <xf numFmtId="0" fontId="22" fillId="6" borderId="4" applyAlignment="1" applyProtection="1" pivotButton="0" quotePrefix="0" xfId="0">
      <alignment horizontal="left" vertical="center"/>
      <protection locked="0" hidden="0"/>
    </xf>
    <xf numFmtId="0" fontId="22" fillId="6" borderId="7" applyAlignment="1" applyProtection="1" pivotButton="0" quotePrefix="0" xfId="0">
      <alignment horizontal="center" vertical="center"/>
      <protection locked="0" hidden="0"/>
    </xf>
    <xf numFmtId="0" fontId="23" fillId="0" borderId="8" applyAlignment="1" pivotButton="0" quotePrefix="0" xfId="0">
      <alignment vertical="top" wrapText="1" readingOrder="1"/>
    </xf>
    <xf numFmtId="1" fontId="24" fillId="0" borderId="4" applyAlignment="1" applyProtection="1" pivotButton="0" quotePrefix="0" xfId="12">
      <alignment horizontal="left" vertical="center"/>
      <protection locked="1" hidden="1"/>
    </xf>
    <xf numFmtId="1" fontId="24" fillId="0" borderId="4" applyAlignment="1" applyProtection="1" pivotButton="0" quotePrefix="0" xfId="12">
      <alignment horizontal="left" vertical="center"/>
      <protection locked="0" hidden="0"/>
    </xf>
    <xf numFmtId="165" fontId="24" fillId="0" borderId="4" applyAlignment="1" applyProtection="1" pivotButton="0" quotePrefix="0" xfId="12">
      <alignment horizontal="right" vertical="center"/>
      <protection locked="0" hidden="0"/>
    </xf>
    <xf numFmtId="166" fontId="24" fillId="0" borderId="4" applyAlignment="1" applyProtection="1" pivotButton="0" quotePrefix="0" xfId="1">
      <alignment horizontal="right" vertical="center"/>
      <protection locked="0" hidden="0"/>
    </xf>
    <xf numFmtId="1" fontId="25" fillId="0" borderId="4" applyAlignment="1" applyProtection="1" pivotButton="0" quotePrefix="0" xfId="12">
      <alignment horizontal="right" vertical="center"/>
      <protection locked="0" hidden="0"/>
    </xf>
    <xf numFmtId="1" fontId="25" fillId="0" borderId="4" applyAlignment="1" applyProtection="1" pivotButton="0" quotePrefix="0" xfId="12">
      <alignment horizontal="left" vertical="center"/>
      <protection locked="0" hidden="0"/>
    </xf>
    <xf numFmtId="1" fontId="25" fillId="0" borderId="4" applyAlignment="1" applyProtection="1" pivotButton="0" quotePrefix="0" xfId="12">
      <alignment horizontal="left" vertical="center"/>
      <protection locked="1" hidden="1"/>
    </xf>
    <xf numFmtId="2" fontId="25" fillId="0" borderId="4" applyAlignment="1" applyProtection="1" pivotButton="0" quotePrefix="0" xfId="12">
      <alignment horizontal="right" vertical="center"/>
      <protection locked="0" hidden="0"/>
    </xf>
    <xf numFmtId="1" fontId="24" fillId="0" borderId="4" applyAlignment="1" applyProtection="1" pivotButton="0" quotePrefix="0" xfId="12">
      <alignment horizontal="right" vertical="center"/>
      <protection locked="0" hidden="0"/>
    </xf>
    <xf numFmtId="2" fontId="24" fillId="0" borderId="4" applyAlignment="1" applyProtection="1" pivotButton="0" quotePrefix="0" xfId="12">
      <alignment horizontal="right" vertical="center"/>
      <protection locked="0" hidden="0"/>
    </xf>
    <xf numFmtId="0" fontId="26" fillId="0" borderId="8" applyAlignment="1" pivotButton="0" quotePrefix="0" xfId="0">
      <alignment vertical="top" wrapText="1" readingOrder="1"/>
    </xf>
    <xf numFmtId="1" fontId="24" fillId="7" borderId="4" applyAlignment="1" applyProtection="1" pivotButton="0" quotePrefix="0" xfId="12">
      <alignment horizontal="right" vertical="center"/>
      <protection locked="0" hidden="0"/>
    </xf>
    <xf numFmtId="1" fontId="24" fillId="7" borderId="4" applyAlignment="1" applyProtection="1" pivotButton="0" quotePrefix="0" xfId="12">
      <alignment horizontal="left" vertical="center"/>
      <protection locked="1" hidden="1"/>
    </xf>
    <xf numFmtId="166" fontId="24" fillId="7" borderId="4" applyAlignment="1" applyProtection="1" pivotButton="0" quotePrefix="0" xfId="1">
      <alignment horizontal="right" vertical="center"/>
      <protection locked="0" hidden="0"/>
    </xf>
    <xf numFmtId="1" fontId="24" fillId="7" borderId="4" applyAlignment="1" applyProtection="1" pivotButton="0" quotePrefix="0" xfId="12">
      <alignment horizontal="left" vertical="center"/>
      <protection locked="0" hidden="0"/>
    </xf>
    <xf numFmtId="1" fontId="24" fillId="0" borderId="9" applyAlignment="1" applyProtection="1" pivotButton="0" quotePrefix="0" xfId="12">
      <alignment horizontal="right" vertical="center"/>
      <protection locked="0" hidden="0"/>
    </xf>
    <xf numFmtId="1" fontId="24" fillId="0" borderId="9" applyAlignment="1" applyProtection="1" pivotButton="0" quotePrefix="0" xfId="12">
      <alignment horizontal="left" vertical="center"/>
      <protection locked="1" hidden="1"/>
    </xf>
    <xf numFmtId="166" fontId="24" fillId="0" borderId="9" applyAlignment="1" applyProtection="1" pivotButton="0" quotePrefix="0" xfId="1">
      <alignment horizontal="right" vertical="center"/>
      <protection locked="0" hidden="0"/>
    </xf>
    <xf numFmtId="1" fontId="24" fillId="0" borderId="9" applyAlignment="1" applyProtection="1" pivotButton="0" quotePrefix="0" xfId="12">
      <alignment horizontal="left" vertical="center"/>
      <protection locked="0" hidden="0"/>
    </xf>
    <xf numFmtId="0" fontId="0" fillId="0" borderId="4" pivotButton="0" quotePrefix="0" xfId="0"/>
    <xf numFmtId="1" fontId="27" fillId="0" borderId="4" applyAlignment="1" applyProtection="1" pivotButton="0" quotePrefix="0" xfId="12">
      <alignment horizontal="right" vertical="center"/>
      <protection locked="0" hidden="0"/>
    </xf>
    <xf numFmtId="1" fontId="27" fillId="0" borderId="4" applyAlignment="1" applyProtection="1" pivotButton="0" quotePrefix="0" xfId="12">
      <alignment horizontal="left" vertical="center"/>
      <protection locked="1" hidden="1"/>
    </xf>
    <xf numFmtId="1" fontId="27" fillId="0" borderId="4" applyAlignment="1" applyProtection="1" pivotButton="0" quotePrefix="0" xfId="12">
      <alignment horizontal="left" vertical="center"/>
      <protection locked="0" hidden="0"/>
    </xf>
    <xf numFmtId="166" fontId="27" fillId="0" borderId="4" applyAlignment="1" applyProtection="1" pivotButton="0" quotePrefix="0" xfId="1">
      <alignment horizontal="right" vertical="center"/>
      <protection locked="0" hidden="0"/>
    </xf>
    <xf numFmtId="0" fontId="28" fillId="0" borderId="4" pivotButton="0" quotePrefix="0" xfId="0"/>
    <xf numFmtId="0" fontId="26" fillId="0" borderId="8" applyAlignment="1" applyProtection="1" pivotButton="0" quotePrefix="0" xfId="0">
      <alignment vertical="top" wrapText="1" readingOrder="1"/>
      <protection locked="0" hidden="0"/>
    </xf>
    <xf numFmtId="167" fontId="24" fillId="0" borderId="4" applyAlignment="1" applyProtection="1" pivotButton="0" quotePrefix="0" xfId="12">
      <alignment horizontal="right" vertical="center"/>
      <protection locked="0" hidden="0"/>
    </xf>
    <xf numFmtId="1" fontId="24" fillId="0" borderId="0" applyAlignment="1" applyProtection="1" pivotButton="0" quotePrefix="0" xfId="12">
      <alignment horizontal="right" vertical="center"/>
      <protection locked="0" hidden="0"/>
    </xf>
    <xf numFmtId="3" fontId="14" fillId="0" borderId="0" applyAlignment="1" applyProtection="1" pivotButton="0" quotePrefix="0" xfId="0">
      <alignment horizontal="left" vertical="center"/>
      <protection locked="0" hidden="1"/>
    </xf>
    <xf numFmtId="3" fontId="14" fillId="0" borderId="0" applyAlignment="1" applyProtection="1" pivotButton="0" quotePrefix="0" xfId="0">
      <alignment horizontal="left" vertical="center"/>
      <protection locked="0" hidden="0"/>
    </xf>
    <xf numFmtId="4" fontId="14" fillId="0" borderId="0" applyAlignment="1" applyProtection="1" pivotButton="0" quotePrefix="0" xfId="0">
      <alignment horizontal="right" vertical="center"/>
      <protection locked="0" hidden="0"/>
    </xf>
    <xf numFmtId="0" fontId="0" fillId="0" borderId="4" applyProtection="1" pivotButton="0" quotePrefix="0" xfId="0">
      <protection locked="0" hidden="0"/>
    </xf>
    <xf numFmtId="1" fontId="24" fillId="0" borderId="0" applyAlignment="1" applyProtection="1" pivotButton="0" quotePrefix="0" xfId="12">
      <alignment horizontal="left" vertical="center"/>
      <protection locked="1" hidden="1"/>
    </xf>
    <xf numFmtId="1" fontId="24" fillId="0" borderId="0" applyAlignment="1" applyProtection="1" pivotButton="0" quotePrefix="0" xfId="12">
      <alignment horizontal="left" vertical="center"/>
      <protection locked="0" hidden="0"/>
    </xf>
    <xf numFmtId="167" fontId="24" fillId="0" borderId="0" applyAlignment="1" applyProtection="1" pivotButton="0" quotePrefix="0" xfId="12">
      <alignment horizontal="right" vertical="center"/>
      <protection locked="0" hidden="0"/>
    </xf>
    <xf numFmtId="3" fontId="24" fillId="0" borderId="0" applyAlignment="1" applyProtection="1" pivotButton="0" quotePrefix="0" xfId="12">
      <alignment horizontal="right" vertical="center"/>
      <protection locked="0" hidden="0"/>
    </xf>
    <xf numFmtId="0" fontId="1" fillId="0" borderId="0" pivotButton="0" quotePrefix="0" xfId="0"/>
    <xf numFmtId="0" fontId="29" fillId="8" borderId="8" applyAlignment="1" pivotButton="0" quotePrefix="0" xfId="0">
      <alignment horizontal="center" vertical="top" wrapText="1" readingOrder="1"/>
    </xf>
    <xf numFmtId="168" fontId="26" fillId="0" borderId="8" applyAlignment="1" pivotButton="0" quotePrefix="0" xfId="0">
      <alignment vertical="top" wrapText="1" readingOrder="1"/>
    </xf>
    <xf numFmtId="0" fontId="9" fillId="0" borderId="0" pivotButton="0" quotePrefix="0" xfId="0"/>
    <xf numFmtId="0" fontId="31" fillId="0" borderId="0" pivotButton="0" quotePrefix="0" xfId="14"/>
    <xf numFmtId="0" fontId="0" fillId="0" borderId="0" applyAlignment="1" pivotButton="0" quotePrefix="0" xfId="0">
      <alignment horizontal="center" wrapText="1"/>
    </xf>
    <xf numFmtId="0" fontId="32" fillId="0" borderId="0" pivotButton="0" quotePrefix="0" xfId="0"/>
    <xf numFmtId="0" fontId="14" fillId="0" borderId="0" applyAlignment="1" pivotButton="0" quotePrefix="0" xfId="0">
      <alignment horizontal="center" wrapText="1"/>
    </xf>
    <xf numFmtId="0" fontId="33" fillId="0" borderId="0" applyAlignment="1" pivotButton="0" quotePrefix="0" xfId="14">
      <alignment horizontal="center"/>
    </xf>
    <xf numFmtId="0" fontId="32" fillId="0" borderId="0" applyAlignment="1" pivotButton="0" quotePrefix="0" xfId="0">
      <alignment horizontal="center"/>
    </xf>
    <xf numFmtId="0" fontId="13" fillId="0" borderId="0" pivotButton="0" quotePrefix="0" xfId="0"/>
    <xf numFmtId="0" fontId="13" fillId="0" borderId="0" applyAlignment="1" pivotButton="0" quotePrefix="0" xfId="0">
      <alignment horizontal="center"/>
    </xf>
    <xf numFmtId="0" fontId="31" fillId="0" borderId="0" applyAlignment="1" pivotButton="0" quotePrefix="0" xfId="14">
      <alignment horizontal="center"/>
    </xf>
    <xf numFmtId="0" fontId="31" fillId="0" borderId="0" pivotButton="0" quotePrefix="0" xfId="0"/>
    <xf numFmtId="0" fontId="26" fillId="0" borderId="8" applyAlignment="1" pivotButton="0" quotePrefix="0" xfId="10">
      <alignment vertical="top" wrapText="1" readingOrder="1"/>
    </xf>
    <xf numFmtId="14" fontId="0" fillId="0" borderId="0" pivotButton="0" quotePrefix="0" xfId="0"/>
    <xf numFmtId="167" fontId="26" fillId="0" borderId="8" applyAlignment="1" pivotButton="0" quotePrefix="0" xfId="0">
      <alignment horizontal="left" vertical="top" wrapText="1" readingOrder="1"/>
    </xf>
    <xf numFmtId="0" fontId="26" fillId="0" borderId="10" applyAlignment="1" pivotButton="0" quotePrefix="0" xfId="10">
      <alignment vertical="top" wrapText="1" readingOrder="1"/>
    </xf>
    <xf numFmtId="0" fontId="26" fillId="0" borderId="10" applyAlignment="1" pivotButton="0" quotePrefix="0" xfId="0">
      <alignment vertical="top" wrapText="1" readingOrder="1"/>
    </xf>
    <xf numFmtId="0" fontId="21" fillId="0" borderId="5" applyAlignment="1" applyProtection="1" pivotButton="0" quotePrefix="0" xfId="0">
      <alignment horizontal="right" vertical="center" wrapText="1"/>
      <protection locked="0" hidden="0"/>
    </xf>
    <xf numFmtId="0" fontId="20" fillId="5" borderId="5" applyAlignment="1" applyProtection="1" pivotButton="0" quotePrefix="0" xfId="0">
      <alignment horizontal="right" vertical="center" wrapText="1"/>
      <protection locked="1" hidden="1"/>
    </xf>
    <xf numFmtId="14" fontId="24" fillId="0" borderId="0" applyAlignment="1" applyProtection="1" pivotButton="0" quotePrefix="0" xfId="12">
      <alignment horizontal="right" vertical="center"/>
      <protection locked="0" hidden="0"/>
    </xf>
    <xf numFmtId="1" fontId="34" fillId="0" borderId="0" applyAlignment="1" applyProtection="1" pivotButton="0" quotePrefix="0" xfId="12">
      <alignment horizontal="left" vertical="center"/>
      <protection locked="0" hidden="0"/>
    </xf>
    <xf numFmtId="0" fontId="5" fillId="0" borderId="0" applyAlignment="1" pivotButton="0" quotePrefix="0" xfId="0">
      <alignment horizontal="justify"/>
    </xf>
    <xf numFmtId="0" fontId="5" fillId="0" borderId="0" applyAlignment="1" pivotButton="0" quotePrefix="0" xfId="0">
      <alignment horizontal="justify" vertical="top" wrapText="1"/>
    </xf>
    <xf numFmtId="0" fontId="5" fillId="0" borderId="0" applyAlignment="1" pivotButton="0" quotePrefix="0" xfId="0">
      <alignment horizontal="left" vertical="top" wrapText="1"/>
    </xf>
    <xf numFmtId="0" fontId="16" fillId="0" borderId="0" applyAlignment="1" pivotButton="0" quotePrefix="0" xfId="0">
      <alignment horizontal="center" vertical="center" wrapText="1"/>
    </xf>
    <xf numFmtId="0" fontId="17" fillId="0" borderId="0" applyAlignment="1" pivotButton="0" quotePrefix="0" xfId="0">
      <alignment horizontal="center" vertical="center" wrapText="1"/>
    </xf>
    <xf numFmtId="164" fontId="10" fillId="0" borderId="0" applyProtection="1" pivotButton="0" quotePrefix="0" xfId="0">
      <protection locked="0" hidden="0"/>
    </xf>
    <xf numFmtId="165" fontId="24" fillId="0" borderId="4" applyAlignment="1" applyProtection="1" pivotButton="0" quotePrefix="0" xfId="12">
      <alignment horizontal="right" vertical="center"/>
      <protection locked="0" hidden="0"/>
    </xf>
    <xf numFmtId="166" fontId="24" fillId="0" borderId="4" applyAlignment="1" applyProtection="1" pivotButton="0" quotePrefix="0" xfId="1">
      <alignment horizontal="right" vertical="center"/>
      <protection locked="0" hidden="0"/>
    </xf>
    <xf numFmtId="167" fontId="24" fillId="0" borderId="4" applyAlignment="1" applyProtection="1" pivotButton="0" quotePrefix="0" xfId="12">
      <alignment horizontal="right" vertical="center"/>
      <protection locked="0" hidden="0"/>
    </xf>
    <xf numFmtId="167" fontId="24" fillId="0" borderId="0" applyAlignment="1" applyProtection="1" pivotButton="0" quotePrefix="0" xfId="12">
      <alignment horizontal="right" vertical="center"/>
      <protection locked="0" hidden="0"/>
    </xf>
    <xf numFmtId="168" fontId="26" fillId="0" borderId="8" applyAlignment="1" pivotButton="0" quotePrefix="0" xfId="0">
      <alignment vertical="top" wrapText="1" readingOrder="1"/>
    </xf>
    <xf numFmtId="167" fontId="26" fillId="0" borderId="8" applyAlignment="1" pivotButton="0" quotePrefix="0" xfId="0">
      <alignment horizontal="left" vertical="top" wrapText="1" readingOrder="1"/>
    </xf>
  </cellXfs>
  <cellStyles count="15">
    <cellStyle name="Normal" xfId="0" builtinId="0"/>
    <cellStyle name="Moneda" xfId="1" builtinId="4"/>
    <cellStyle name="Hipervínculo" xfId="2" builtinId="8"/>
    <cellStyle name="Comma 2" xfId="3"/>
    <cellStyle name="Currency [0] 2" xfId="4"/>
    <cellStyle name="Millares 3" xfId="5"/>
    <cellStyle name="Millares 3 2" xfId="6"/>
    <cellStyle name="Millares 5" xfId="7"/>
    <cellStyle name="Normal 2" xfId="8"/>
    <cellStyle name="Normal 3" xfId="9"/>
    <cellStyle name="Normal 4" xfId="10"/>
    <cellStyle name="Normal 6" xfId="11"/>
    <cellStyle name="Normal_Hoja1" xfId="12"/>
    <cellStyle name="Título 4" xfId="13"/>
    <cellStyle name="Excel Built-in ColLevel_0" xfId="14"/>
  </cellStyles>
  <dxfs count="46">
    <dxf>
      <fill>
        <patternFill>
          <bgColor rgb="FF0070C0"/>
        </patternFill>
      </fill>
    </dxf>
    <dxf>
      <fill>
        <patternFill>
          <bgColor rgb="FF0070C0"/>
        </patternFill>
      </fill>
    </dxf>
    <dxf>
      <border>
        <left style="thin">
          <color theme="0"/>
        </left>
        <right style="thin">
          <color theme="0"/>
        </right>
        <top/>
        <bottom style="thin">
          <color theme="0"/>
        </bottom>
      </border>
    </dxf>
    <dxf>
      <fill>
        <patternFill>
          <bgColor rgb="FF0070C0"/>
        </patternFill>
      </fill>
    </dxf>
    <dxf>
      <fill>
        <patternFill>
          <bgColor rgb="FF0070C0"/>
        </patternFill>
      </fill>
    </dxf>
    <dxf>
      <fill>
        <patternFill>
          <bgColor rgb="FF0070C0"/>
        </patternFill>
      </fill>
    </dxf>
    <dxf>
      <fill>
        <patternFill>
          <bgColor theme="8" tint="0.7998901333658864"/>
        </patternFill>
      </fill>
    </dxf>
    <dxf>
      <fill>
        <patternFill>
          <bgColor theme="8" tint="0.7998901333658864"/>
        </patternFill>
      </fill>
    </dxf>
    <dxf>
      <fill>
        <patternFill>
          <bgColor theme="8" tint="0.7998901333658864"/>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border>
        <left style="thin">
          <color theme="0"/>
        </left>
        <right style="thin">
          <color theme="0"/>
        </right>
        <top/>
        <bottom style="thin">
          <color theme="0"/>
        </bottom>
      </border>
    </dxf>
    <dxf>
      <border>
        <left style="thin">
          <color theme="0"/>
        </left>
        <right style="thin">
          <color theme="0"/>
        </right>
        <top/>
        <bottom style="thin">
          <color theme="0"/>
        </bottom>
      </border>
    </dxf>
    <dxf>
      <border>
        <left style="thin">
          <color theme="0"/>
        </left>
        <right style="thin">
          <color theme="0"/>
        </right>
        <top/>
        <bottom style="thin">
          <color theme="0"/>
        </bottom>
      </border>
    </dxf>
    <dxf>
      <border>
        <left style="thin">
          <color theme="0"/>
        </left>
        <right style="thin">
          <color theme="0"/>
        </right>
        <top/>
        <bottom style="thin">
          <color theme="0"/>
        </bottom>
      </border>
    </dxf>
    <dxf>
      <border>
        <left style="thin">
          <color theme="0"/>
        </left>
        <right style="thin">
          <color theme="0"/>
        </right>
        <top/>
        <bottom style="thin">
          <color theme="0"/>
        </bottom>
      </border>
    </dxf>
    <dxf>
      <fill>
        <patternFill>
          <bgColor theme="8" tint="0.7998901333658864"/>
        </patternFill>
      </fill>
    </dxf>
    <dxf>
      <fill>
        <patternFill>
          <bgColor rgb="FF0070C0"/>
        </patternFill>
      </fill>
    </dxf>
    <dxf>
      <fill>
        <patternFill>
          <bgColor rgb="FF0070C0"/>
        </patternFill>
      </fill>
    </dxf>
    <dxf>
      <border>
        <left style="thin">
          <color theme="0"/>
        </left>
        <right style="thin">
          <color theme="0"/>
        </right>
        <top/>
        <bottom style="thin">
          <color theme="0"/>
        </bottom>
      </border>
    </dxf>
    <dxf>
      <border>
        <left style="thin">
          <color theme="0"/>
        </left>
        <right style="thin">
          <color theme="0"/>
        </right>
        <top/>
        <bottom style="thin">
          <color theme="0"/>
        </bottom>
      </border>
    </dxf>
    <dxf>
      <border>
        <left style="thin">
          <color theme="0"/>
        </left>
        <right style="thin">
          <color theme="0"/>
        </right>
        <top/>
        <bottom style="thin">
          <color theme="0"/>
        </bottom>
      </border>
    </dxf>
    <dxf>
      <border>
        <left style="thin">
          <color theme="0"/>
        </left>
        <right style="thin">
          <color theme="0"/>
        </right>
        <top/>
        <bottom style="thin">
          <color theme="0"/>
        </bottom>
      </border>
    </dxf>
    <dxf>
      <border>
        <left style="thin">
          <color theme="0"/>
        </left>
        <right style="thin">
          <color theme="0"/>
        </right>
        <top/>
        <bottom style="thin">
          <color theme="0"/>
        </bottom>
      </border>
    </dxf>
    <dxf>
      <fill>
        <patternFill>
          <bgColor theme="8" tint="0.7998901333658864"/>
        </patternFill>
      </fill>
    </dxf>
    <dxf>
      <fill>
        <patternFill>
          <bgColor rgb="FF0070C0"/>
        </patternFill>
      </fill>
    </dxf>
    <dxf>
      <fill>
        <patternFill>
          <bgColor rgb="FF0070C0"/>
        </patternFill>
      </fill>
    </dxf>
    <dxf>
      <fill>
        <patternFill>
          <bgColor theme="8" tint="0.7998901333658864"/>
        </patternFill>
      </fill>
    </dxf>
    <dxf>
      <border>
        <left style="thin">
          <color theme="0"/>
        </left>
        <right style="thin">
          <color theme="0"/>
        </right>
        <top/>
        <bottom style="thin">
          <color theme="0"/>
        </bottom>
      </border>
    </dxf>
    <dxf>
      <border>
        <left style="thin">
          <color theme="0"/>
        </left>
        <right style="thin">
          <color theme="0"/>
        </right>
        <top/>
        <bottom style="thin">
          <color theme="0"/>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DEADA"/>
      <rgbColor rgb="FFDBEEF4"/>
      <rgbColor rgb="FF660066"/>
      <rgbColor rgb="FFFF8080"/>
      <rgbColor rgb="FF0070C0"/>
      <rgbColor rgb="FFD3D3D3"/>
      <rgbColor rgb="FF000080"/>
      <rgbColor rgb="FFFF00FF"/>
      <rgbColor rgb="FFFFFF00"/>
      <rgbColor rgb="FF00FFFF"/>
      <rgbColor rgb="FF800080"/>
      <rgbColor rgb="FF800000"/>
      <rgbColor rgb="FF008080"/>
      <rgbColor rgb="FF0000FF"/>
      <rgbColor rgb="FF00CCFF"/>
      <rgbColor rgb="FFF2F2F2"/>
      <rgbColor rgb="FFD7E4BD"/>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4682B4"/>
      <rgbColor rgb="FF0D0D0D"/>
      <rgbColor rgb="FF404040"/>
      <rgbColor rgb="FF993300"/>
      <rgbColor rgb="FF993366"/>
      <rgbColor rgb="FF1F497D"/>
      <rgbColor rgb="FF26262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gif"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3.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s>
</file>

<file path=xl/drawings/_rels/drawing5.xml.rels><Relationships xmlns="http://schemas.openxmlformats.org/package/2006/relationships"><Relationship Type="http://schemas.openxmlformats.org/officeDocument/2006/relationships/image" Target="/xl/media/image11.png" Id="rId1"/><Relationship Type="http://schemas.openxmlformats.org/officeDocument/2006/relationships/image" Target="/xl/media/image12.png" Id="rId2"/></Relationships>
</file>

<file path=xl/drawings/drawing1.xml><?xml version="1.0" encoding="utf-8"?>
<wsDr xmlns="http://schemas.openxmlformats.org/drawingml/2006/spreadsheetDrawing">
  <twoCellAnchor editAs="oneCell">
    <from>
      <col>3</col>
      <colOff>66600</colOff>
      <row>14</row>
      <rowOff>95400</rowOff>
    </from>
    <to>
      <col>7</col>
      <colOff>856800</colOff>
      <row>19</row>
      <rowOff>147600</rowOff>
    </to>
    <pic>
      <nvPicPr>
        <cNvPr id="2" name="3 Imagen"/>
        <cNvPicPr/>
      </nvPicPr>
      <blipFill>
        <a:blip xmlns:a="http://schemas.openxmlformats.org/drawingml/2006/main" xmlns:r="http://schemas.openxmlformats.org/officeDocument/2006/relationships" r:embed="rId1"/>
        <a:srcRect xmlns:a="http://schemas.openxmlformats.org/drawingml/2006/main" t="6831" r="3012"/>
        <a:stretch xmlns:a="http://schemas.openxmlformats.org/drawingml/2006/main">
          <a:fillRect/>
        </a:stretch>
      </blipFill>
      <spPr>
        <a:xfrm xmlns:a="http://schemas.openxmlformats.org/drawingml/2006/main">
          <a:off x="1539720" y="2971800"/>
          <a:ext cx="4018680" cy="814320"/>
        </a:xfrm>
        <a:prstGeom xmlns:a="http://schemas.openxmlformats.org/drawingml/2006/main" prst="rect">
          <avLst/>
        </a:prstGeom>
        <a:ln xmlns:a="http://schemas.openxmlformats.org/drawingml/2006/main" w="0">
          <a:noFill/>
          <a:prstDash val="solid"/>
        </a:ln>
      </spPr>
    </pic>
    <clientData/>
  </twoCellAnchor>
  <twoCellAnchor editAs="oneCell">
    <from>
      <col>8</col>
      <colOff>628560</colOff>
      <row>22</row>
      <rowOff>123840</rowOff>
    </from>
    <to>
      <col>8</col>
      <colOff>894960</colOff>
      <row>22</row>
      <rowOff>390240</rowOff>
    </to>
    <pic>
      <nvPicPr>
        <cNvPr id="3" name="4 Imagen"/>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406560" y="4219560"/>
          <a:ext cx="266400" cy="266400"/>
        </a:xfrm>
        <a:prstGeom xmlns:a="http://schemas.openxmlformats.org/drawingml/2006/main" prst="rect">
          <avLst/>
        </a:prstGeom>
        <a:ln xmlns:a="http://schemas.openxmlformats.org/drawingml/2006/main" w="0">
          <a:noFill/>
          <a:prstDash val="solid"/>
        </a:ln>
      </spPr>
    </pic>
    <clientData/>
  </twoCellAnchor>
  <twoCellAnchor editAs="oneCell">
    <from>
      <col>6</col>
      <colOff>257040</colOff>
      <row>30</row>
      <rowOff>0</rowOff>
    </from>
    <to>
      <col>7</col>
      <colOff>256680</colOff>
      <row>30</row>
      <rowOff>221400</rowOff>
    </to>
    <pic>
      <nvPicPr>
        <cNvPr id="6" name="8 Imagen"/>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151520" y="6629400"/>
          <a:ext cx="806760" cy="221400"/>
        </a:xfrm>
        <a:prstGeom xmlns:a="http://schemas.openxmlformats.org/drawingml/2006/main" prst="rect">
          <avLst/>
        </a:prstGeom>
        <a:ln xmlns:a="http://schemas.openxmlformats.org/drawingml/2006/main" w="0">
          <a:noFill/>
          <a:prstDash val="solid"/>
        </a:ln>
      </spPr>
    </pic>
    <clientData/>
  </twoCellAnchor>
  <twoCellAnchor editAs="oneCell">
    <from>
      <col>1</col>
      <colOff>76320</colOff>
      <row>0</row>
      <rowOff>0</rowOff>
    </from>
    <to>
      <col>2</col>
      <colOff>942840</colOff>
      <row>4</row>
      <rowOff>77760</rowOff>
    </to>
    <pic>
      <nvPicPr>
        <cNvPr id="7" name="Imagen 10"/>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185040" y="0"/>
          <a:ext cx="1186560" cy="687240"/>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2</col>
      <colOff>2124000</colOff>
      <row>7</row>
      <rowOff>20520</rowOff>
    </from>
    <to>
      <col>2</col>
      <colOff>2390400</colOff>
      <row>7</row>
      <rowOff>286920</rowOff>
    </to>
    <pic>
      <nvPicPr>
        <cNvPr id="10" name="11 Image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443400" y="1819440"/>
          <a:ext cx="266400" cy="266400"/>
        </a:xfrm>
        <a:prstGeom xmlns:a="http://schemas.openxmlformats.org/drawingml/2006/main" prst="rect">
          <avLst/>
        </a:prstGeom>
        <a:ln xmlns:a="http://schemas.openxmlformats.org/drawingml/2006/main" w="0">
          <a:noFill/>
          <a:prstDash val="solid"/>
        </a:ln>
      </spPr>
    </pic>
    <clientData/>
  </twoCellAnchor>
  <twoCellAnchor editAs="oneCell">
    <from>
      <col>0</col>
      <colOff>0</colOff>
      <row>0</row>
      <rowOff>0</rowOff>
    </from>
    <to>
      <col>2</col>
      <colOff>599760</colOff>
      <row>4</row>
      <rowOff>467640</rowOff>
    </to>
    <pic>
      <nvPicPr>
        <cNvPr id="23" name="Imagen 20"/>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1919160" cy="1123560"/>
        </a:xfrm>
        <a:prstGeom xmlns:a="http://schemas.openxmlformats.org/drawingml/2006/main" prst="rect">
          <avLst/>
        </a:prstGeom>
        <a:ln xmlns:a="http://schemas.openxmlformats.org/drawingml/2006/main" w="0">
          <a:noFill/>
          <a:prstDash val="solid"/>
        </a:ln>
      </spPr>
    </pic>
    <clientData/>
  </twoCellAnchor>
</wsDr>
</file>

<file path=xl/drawings/drawing3.xml><?xml version="1.0" encoding="utf-8"?>
<wsDr xmlns="http://schemas.openxmlformats.org/drawingml/2006/spreadsheetDrawing">
  <twoCellAnchor editAs="oneCell">
    <from>
      <col>2</col>
      <colOff>2124000</colOff>
      <row>7</row>
      <rowOff>20160</rowOff>
    </from>
    <to>
      <col>2</col>
      <colOff>2390400</colOff>
      <row>7</row>
      <rowOff>286560</rowOff>
    </to>
    <pic>
      <nvPicPr>
        <cNvPr id="27" name="5 Image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443400" y="1495440"/>
          <a:ext cx="266400" cy="266400"/>
        </a:xfrm>
        <a:prstGeom xmlns:a="http://schemas.openxmlformats.org/drawingml/2006/main" prst="rect">
          <avLst/>
        </a:prstGeom>
        <a:ln xmlns:a="http://schemas.openxmlformats.org/drawingml/2006/main" w="0">
          <a:noFill/>
          <a:prstDash val="solid"/>
        </a:ln>
      </spPr>
    </pic>
    <clientData/>
  </twoCellAnchor>
  <twoCellAnchor editAs="oneCell">
    <from>
      <col>1</col>
      <colOff>133200</colOff>
      <row>0</row>
      <rowOff>0</rowOff>
    </from>
    <to>
      <col>2</col>
      <colOff>494640</colOff>
      <row>4</row>
      <rowOff>239400</rowOff>
    </to>
    <pic>
      <nvPicPr>
        <cNvPr id="40" name="Imagen 19"/>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41920" y="0"/>
          <a:ext cx="1572120" cy="895320"/>
        </a:xfrm>
        <a:prstGeom xmlns:a="http://schemas.openxmlformats.org/drawingml/2006/main" prst="rect">
          <avLst/>
        </a:prstGeom>
        <a:ln xmlns:a="http://schemas.openxmlformats.org/drawingml/2006/main" w="0">
          <a:noFill/>
          <a:prstDash val="solid"/>
        </a:ln>
      </spPr>
    </pic>
    <clientData/>
  </twoCellAnchor>
</wsDr>
</file>

<file path=xl/drawings/drawing4.xml><?xml version="1.0" encoding="utf-8"?>
<wsDr xmlns="http://schemas.openxmlformats.org/drawingml/2006/spreadsheetDrawing">
  <twoCellAnchor editAs="oneCell">
    <from>
      <col>2</col>
      <colOff>2124000</colOff>
      <row>8</row>
      <rowOff>20160</rowOff>
    </from>
    <to>
      <col>2</col>
      <colOff>2390400</colOff>
      <row>8</row>
      <rowOff>286560</rowOff>
    </to>
    <pic>
      <nvPicPr>
        <cNvPr id="45" name="5 Image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443400" y="1895400"/>
          <a:ext cx="266400" cy="266400"/>
        </a:xfrm>
        <a:prstGeom xmlns:a="http://schemas.openxmlformats.org/drawingml/2006/main" prst="rect">
          <avLst/>
        </a:prstGeom>
        <a:ln xmlns:a="http://schemas.openxmlformats.org/drawingml/2006/main" w="0">
          <a:noFill/>
          <a:prstDash val="solid"/>
        </a:ln>
      </spPr>
    </pic>
    <clientData/>
  </twoCellAnchor>
  <twoCellAnchor editAs="oneCell">
    <from>
      <col>1</col>
      <colOff>28440</colOff>
      <row>1</row>
      <rowOff>0</rowOff>
    </from>
    <to>
      <col>2</col>
      <colOff>389880</colOff>
      <row>4</row>
      <rowOff>382320</rowOff>
    </to>
    <pic>
      <nvPicPr>
        <cNvPr id="57" name="Imagen 20"/>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37160" y="142920"/>
          <a:ext cx="1572120" cy="895320"/>
        </a:xfrm>
        <a:prstGeom xmlns:a="http://schemas.openxmlformats.org/drawingml/2006/main" prst="rect">
          <avLst/>
        </a:prstGeom>
        <a:ln xmlns:a="http://schemas.openxmlformats.org/drawingml/2006/main" w="0">
          <a:noFill/>
          <a:prstDash val="solid"/>
        </a:ln>
      </spPr>
    </pic>
    <clientData/>
  </twoCellAnchor>
</wsDr>
</file>

<file path=xl/drawings/drawing5.xml><?xml version="1.0" encoding="utf-8"?>
<wsDr xmlns="http://schemas.openxmlformats.org/drawingml/2006/spreadsheetDrawing">
  <twoCellAnchor editAs="oneCell">
    <from>
      <col>2</col>
      <colOff>2124000</colOff>
      <row>7</row>
      <rowOff>20160</rowOff>
    </from>
    <to>
      <col>2</col>
      <colOff>2390400</colOff>
      <row>7</row>
      <rowOff>286560</rowOff>
    </to>
    <pic>
      <nvPicPr>
        <cNvPr id="62" name="5 Image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443400" y="1495440"/>
          <a:ext cx="266400" cy="266400"/>
        </a:xfrm>
        <a:prstGeom xmlns:a="http://schemas.openxmlformats.org/drawingml/2006/main" prst="rect">
          <avLst/>
        </a:prstGeom>
        <a:ln xmlns:a="http://schemas.openxmlformats.org/drawingml/2006/main" w="0">
          <a:noFill/>
          <a:prstDash val="solid"/>
        </a:ln>
      </spPr>
    </pic>
    <clientData/>
  </twoCellAnchor>
  <twoCellAnchor editAs="oneCell">
    <from>
      <col>1</col>
      <colOff>504720</colOff>
      <row>0</row>
      <rowOff>0</rowOff>
    </from>
    <to>
      <col>2</col>
      <colOff>753840</colOff>
      <row>4</row>
      <rowOff>163080</rowOff>
    </to>
    <pic>
      <nvPicPr>
        <cNvPr id="76" name="Imagen 22"/>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13440" y="0"/>
          <a:ext cx="1459800" cy="819000"/>
        </a:xfrm>
        <a:prstGeom xmlns:a="http://schemas.openxmlformats.org/drawingml/2006/main" prst="rect">
          <avLst/>
        </a:prstGeom>
        <a:ln xmlns:a="http://schemas.openxmlformats.org/drawingml/2006/main" w="0">
          <a:noFill/>
          <a:prstDash val="solid"/>
        </a:ln>
      </spPr>
    </pic>
    <clientData/>
  </twoCellAnchor>
</wsDr>
</file>

<file path=xl/tables/table1.xml><?xml version="1.0" encoding="utf-8"?>
<table xmlns="http://schemas.openxmlformats.org/spreadsheetml/2006/main" id="1" name="cambios" displayName="cambios" ref="T5:T21" headerRowCount="1" totalsRowShown="0">
  <autoFilter ref="T5:T21"/>
  <tableColumns count="1">
    <tableColumn id="1" name="descripción general"/>
  </tableColumns>
  <tableStyleInfo showFirstColumn="0" showLastColumn="0" showRowStripes="1" showColumnStripes="0"/>
</table>
</file>

<file path=xl/tables/table2.xml><?xml version="1.0" encoding="utf-8"?>
<table xmlns="http://schemas.openxmlformats.org/spreadsheetml/2006/main" id="2" name="conceptos" displayName="conceptos" ref="A5:F40" headerRowCount="1" totalsRowShown="0">
  <autoFilter ref="A5:F40"/>
  <tableColumns count="6">
    <tableColumn id="1" name="modalidad"/>
    <tableColumn id="2" name="codigo"/>
    <tableColumn id="3" name="aplicación"/>
    <tableColumn id="4" name="descripción general"/>
    <tableColumn id="5" name="cantidad"/>
    <tableColumn id="6" name="valor"/>
  </tableColumns>
  <tableStyleInfo showFirstColumn="0" showLastColumn="0" showRowStripes="1" showColumnStripes="0"/>
</table>
</file>

<file path=xl/tables/table3.xml><?xml version="1.0" encoding="utf-8"?>
<table xmlns="http://schemas.openxmlformats.org/spreadsheetml/2006/main" id="3" name="Tabla10" displayName="Tabla10" ref="M5:Q18" headerRowCount="1" totalsRowShown="0">
  <autoFilter ref="M5:Q18"/>
  <tableColumns count="5">
    <tableColumn id="1" name="Tipo"/>
    <tableColumn id="2" name="fecha inicial"/>
    <tableColumn id="3" name="fecha final"/>
    <tableColumn id="4" name="prorroga"/>
    <tableColumn id="5" name="Diagnostico"/>
  </tableColumns>
  <tableStyleInfo showFirstColumn="0" showLastColumn="0" showRowStripes="1" showColumnStripes="0"/>
</table>
</file>

<file path=xl/tables/table4.xml><?xml version="1.0" encoding="utf-8"?>
<table xmlns="http://schemas.openxmlformats.org/spreadsheetml/2006/main" id="4" name="Tablafijas" displayName="Tablafijas" ref="H5:K32" headerRowCount="1" totalsRowShown="0">
  <autoFilter ref="H5:K32"/>
  <tableColumns count="4">
    <tableColumn id="1" name="modalidad"/>
    <tableColumn id="2" name="codigo"/>
    <tableColumn id="3" name="aplicación"/>
    <tableColumn id="4" name="descripción general"/>
  </tableColumns>
  <tableStyleInfo showFirstColumn="0" showLastColumn="0" showRowStripes="1" showColumnStripes="0"/>
</table>
</file>

<file path=xl/tables/table5.xml><?xml version="1.0" encoding="utf-8"?>
<table xmlns="http://schemas.openxmlformats.org/spreadsheetml/2006/main" id="5" name="ReporteNovedadesOC" displayName="ReporteNovedadesOC" ref="B8:H1047" headerRowCount="1" totalsRowShown="0">
  <autoFilter ref="B8:H1047"/>
  <tableColumns count="7">
    <tableColumn id="1" name="Identificación"/>
    <tableColumn id="2" name="Nombre"/>
    <tableColumn id="3" name="Novedad "/>
    <tableColumn id="4" name="Tipo de novedad"/>
    <tableColumn id="5" name="cantidad"/>
    <tableColumn id="6" name="valor"/>
    <tableColumn id="7" name="observaciones" totalsRowFunction="count"/>
  </tableColumns>
  <tableStyleInfo showFirstColumn="0" showLastColumn="0" showRowStripes="1" showColumnStripes="0"/>
</table>
</file>

<file path=xl/tables/table6.xml><?xml version="1.0" encoding="utf-8"?>
<table xmlns="http://schemas.openxmlformats.org/spreadsheetml/2006/main" id="6" name="ReporteNovedadesFJ" displayName="ReporteNovedadesFJ" ref="B8:M9907" headerRowCount="1" totalsRowShown="0">
  <autoFilter ref="B8:M9907"/>
  <tableColumns count="12">
    <tableColumn id="1" name="Identificación"/>
    <tableColumn id="2" name="Nombre"/>
    <tableColumn id="3" name="Novedad "/>
    <tableColumn id="4" name="Tipo de novedad"/>
    <tableColumn id="5" name="cantidad"/>
    <tableColumn id="6" name="valor"/>
    <tableColumn id="7" name="Fecha Inicial"/>
    <tableColumn id="8" name="Fecha Final"/>
    <tableColumn id="9" name="Aplicación"/>
    <tableColumn id="10" name="Cuenta"/>
    <tableColumn id="11" name="Cuotas"/>
    <tableColumn id="12" name="observaciones" totalsRowFunction="count"/>
  </tableColumns>
  <tableStyleInfo showFirstColumn="0" showLastColumn="0" showRowStripes="1" showColumnStripes="0"/>
</table>
</file>

<file path=xl/tables/table7.xml><?xml version="1.0" encoding="utf-8"?>
<table xmlns="http://schemas.openxmlformats.org/spreadsheetml/2006/main" id="7" name="ReporteNovedadesAU" displayName="ReporteNovedadesAU" ref="B9:J9949" headerRowCount="1" totalsRowShown="0">
  <autoFilter ref="B9:J9949"/>
  <tableColumns count="9">
    <tableColumn id="1" name="Identificación"/>
    <tableColumn id="2" name="Nombre"/>
    <tableColumn id="3" name="Ausentismo"/>
    <tableColumn id="4" name="Fecha Inicial"/>
    <tableColumn id="5" name="Fecha Final"/>
    <tableColumn id="6" name="Dias totales"/>
    <tableColumn id="7" name="diagnostico"/>
    <tableColumn id="8" name="Prorroga"/>
    <tableColumn id="9" name="observaciones" totalsRowFunction="count"/>
  </tableColumns>
  <tableStyleInfo showFirstColumn="0" showLastColumn="0" showRowStripes="1" showColumnStripes="0"/>
</table>
</file>

<file path=xl/tables/table8.xml><?xml version="1.0" encoding="utf-8"?>
<table xmlns="http://schemas.openxmlformats.org/spreadsheetml/2006/main" id="8" name="maestro2" displayName="maestro2" ref="A4:J159" headerRowCount="1" totalsRowShown="0">
  <autoFilter ref="A4:J159"/>
  <tableColumns count="10">
    <tableColumn id="1" name="valor"/>
    <tableColumn id="2" name="Cedula"/>
    <tableColumn id="3" name="Nombre"/>
    <tableColumn id="4" name="tip_tip"/>
    <tableColumn id="5" name="ciudad_expedicion"/>
    <tableColumn id="6" name="Estado Civil"/>
    <tableColumn id="7" name="Fecha Nacimiento"/>
    <tableColumn id="8" name="Ciudad"/>
    <tableColumn id="9" name="Columna1"/>
    <tableColumn id="10" name="Columna2"/>
  </tableColumns>
  <tableStyleInfo showFirstColumn="0" showLastColumn="0" showRowStripes="1" showColumnStripes="0"/>
</table>
</file>

<file path=xl/tables/table9.xml><?xml version="1.0" encoding="utf-8"?>
<table xmlns="http://schemas.openxmlformats.org/spreadsheetml/2006/main" id="9" name="ReporteNovedadesAU4" displayName="ReporteNovedadesAU4" ref="B8:G87" headerRowCount="1" totalsRowShown="0">
  <autoFilter ref="B8:G87"/>
  <tableColumns count="6">
    <tableColumn id="1" name="Identificación"/>
    <tableColumn id="2" name="Nombre"/>
    <tableColumn id="3" name="Cambio"/>
    <tableColumn id="4" name="Fecha Inicial"/>
    <tableColumn id="5" name="cambio a"/>
    <tableColumn id="6" name="observaciones" totalsRowFunction="count"/>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s>
</file>

<file path=xl/worksheets/_rels/sheet3.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5.xml" Id="rId2"/></Relationships>
</file>

<file path=xl/worksheets/_rels/sheet4.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6.xml" Id="rId2"/></Relationships>
</file>

<file path=xl/worksheets/_rels/sheet5.xml.rels><Relationships xmlns="http://schemas.openxmlformats.org/package/2006/relationships"><Relationship Type="http://schemas.openxmlformats.org/officeDocument/2006/relationships/drawing" Target="/xl/drawings/drawing4.xml" Id="rId1"/><Relationship Type="http://schemas.openxmlformats.org/officeDocument/2006/relationships/table" Target="/xl/tables/table7.xml" Id="rId2"/></Relationships>
</file>

<file path=xl/worksheets/_rels/sheet7.xml.rels><Relationships xmlns="http://schemas.openxmlformats.org/package/2006/relationships"><Relationship Type="http://schemas.openxmlformats.org/officeDocument/2006/relationships/table" Target="/xl/tables/table8.xml" Id="rId1"/></Relationships>
</file>

<file path=xl/worksheets/_rels/sheet8.xml.rels><Relationships xmlns="http://schemas.openxmlformats.org/package/2006/relationships"><Relationship Type="http://schemas.openxmlformats.org/officeDocument/2006/relationships/drawing" Target="/xl/drawings/drawing5.xml" Id="rId1"/><Relationship Type="http://schemas.openxmlformats.org/officeDocument/2006/relationships/table" Target="/xl/tables/table9.xml" Id="rId2"/></Relationships>
</file>

<file path=xl/worksheets/sheet1.xml><?xml version="1.0" encoding="utf-8"?>
<worksheet xmlns="http://schemas.openxmlformats.org/spreadsheetml/2006/main">
  <sheetPr>
    <outlinePr summaryBelow="1" summaryRight="1"/>
    <pageSetUpPr/>
  </sheetPr>
  <dimension ref="B6:I52"/>
  <sheetViews>
    <sheetView showGridLines="0" zoomScaleNormal="100" workbookViewId="0">
      <selection activeCell="C1" sqref="C1"/>
    </sheetView>
  </sheetViews>
  <sheetFormatPr baseColWidth="10" defaultColWidth="11.453125" defaultRowHeight="12.5"/>
  <cols>
    <col width="1.54296875" customWidth="1" style="3" min="1" max="1"/>
    <col width="4.54296875" customWidth="1" style="3" min="2" max="2"/>
    <col width="14.81640625" customWidth="1" style="3" min="3" max="3"/>
    <col width="11.453125" customWidth="1" style="3" min="4" max="7"/>
    <col width="15.26953125" customWidth="1" style="3" min="8" max="8"/>
    <col width="20.81640625" customWidth="1" style="3" min="9" max="9"/>
    <col width="17.7265625" customWidth="1" style="3" min="10" max="10"/>
    <col width="11.453125" customWidth="1" style="3" min="11" max="16384"/>
  </cols>
  <sheetData>
    <row r="1" customFormat="1" s="4"/>
    <row r="2" customFormat="1" s="4"/>
    <row r="3" customFormat="1" s="4"/>
    <row r="4" customFormat="1" s="4"/>
    <row r="6">
      <c r="B6" s="3" t="inlineStr">
        <is>
          <t>Apreciado Cliente</t>
        </is>
      </c>
    </row>
    <row r="8" ht="30" customHeight="1">
      <c r="B8" s="98" t="inlineStr">
        <is>
          <t>Tenga en cuenta las siguientes pautas a la hora de utilizar esta herramienta con el fin de que su experiencia sea lo mas amena posible.</t>
        </is>
      </c>
    </row>
    <row r="10" ht="12" customHeight="1">
      <c r="B10" s="5" t="inlineStr">
        <is>
          <t>→</t>
        </is>
      </c>
      <c r="C10" s="99" t="inlineStr">
        <is>
          <t>Este documento fue realizado con el fin de facilitarle a usted el reporte de novedades de nómina y a Adecco el entendimiento de las mismas. Procure su utilización en todo tipo de novedad que afecte el proceso.</t>
        </is>
      </c>
    </row>
    <row r="11" ht="31.5" customHeight="1"/>
    <row r="12" ht="11.25" customHeight="1">
      <c r="C12" s="99" t="n"/>
      <c r="D12" s="99" t="n"/>
      <c r="E12" s="99" t="n"/>
      <c r="F12" s="99" t="n"/>
      <c r="G12" s="99" t="n"/>
      <c r="H12" s="99" t="n"/>
      <c r="I12" s="99" t="n"/>
    </row>
    <row r="13" ht="12" customHeight="1">
      <c r="B13" s="5" t="inlineStr">
        <is>
          <t>→</t>
        </is>
      </c>
      <c r="C13" s="99" t="inlineStr">
        <is>
          <t>Es posible que por razones de seguridad de office, algunas características del documento se encuentren deshabilitadas al abrirlo. Por favor, realice la habilitación del contenido desde la pestaña Archivo → Habilitar Contenido.</t>
        </is>
      </c>
    </row>
    <row r="14" ht="33.75" customHeight="1"/>
    <row r="15">
      <c r="C15" s="99" t="n"/>
      <c r="D15" s="99" t="n"/>
      <c r="E15" s="99" t="n"/>
      <c r="F15" s="99" t="n"/>
      <c r="G15" s="99" t="n"/>
      <c r="H15" s="99" t="n"/>
      <c r="I15" s="99" t="n"/>
    </row>
    <row r="16">
      <c r="C16" s="99" t="n"/>
      <c r="D16" s="99" t="n"/>
      <c r="E16" s="99" t="n"/>
      <c r="F16" s="99" t="n"/>
      <c r="G16" s="99" t="n"/>
      <c r="H16" s="99" t="n"/>
      <c r="I16" s="99" t="n"/>
    </row>
    <row r="17">
      <c r="C17" s="99" t="n"/>
      <c r="D17" s="99" t="n"/>
      <c r="E17" s="99" t="n"/>
      <c r="F17" s="99" t="n"/>
      <c r="G17" s="99" t="n"/>
      <c r="H17" s="99" t="n"/>
      <c r="I17" s="99" t="n"/>
    </row>
    <row r="18">
      <c r="C18" s="99" t="n"/>
      <c r="D18" s="99" t="n"/>
      <c r="E18" s="99" t="n"/>
      <c r="F18" s="99" t="n"/>
      <c r="G18" s="99" t="n"/>
      <c r="H18" s="99" t="n"/>
      <c r="I18" s="99" t="n"/>
    </row>
    <row r="19">
      <c r="C19" s="99" t="n"/>
      <c r="D19" s="99" t="n"/>
      <c r="E19" s="99" t="n"/>
      <c r="F19" s="99" t="n"/>
      <c r="G19" s="99" t="n"/>
      <c r="H19" s="99" t="n"/>
      <c r="I19" s="99" t="n"/>
    </row>
    <row r="20">
      <c r="C20" s="99" t="n"/>
      <c r="D20" s="99" t="n"/>
      <c r="E20" s="99" t="n"/>
      <c r="F20" s="99" t="n"/>
      <c r="G20" s="99" t="n"/>
      <c r="H20" s="99" t="n"/>
      <c r="I20" s="99" t="n"/>
    </row>
    <row r="21">
      <c r="C21" s="99" t="n"/>
      <c r="D21" s="99" t="n"/>
      <c r="E21" s="99" t="n"/>
      <c r="F21" s="99" t="n"/>
      <c r="G21" s="99" t="n"/>
      <c r="H21" s="99" t="n"/>
      <c r="I21" s="99" t="n"/>
    </row>
    <row r="22" ht="12" customHeight="1">
      <c r="B22" s="5" t="inlineStr">
        <is>
          <t>→</t>
        </is>
      </c>
      <c r="C22" s="99" t="inlineStr">
        <is>
          <t>Puede seleccionar la identificación del trabajador desde la lista desplegable del campo Documento en la hoja que lo necesite o bien digitarlo. En caso de que no tenga a la mano el numero de documento del trabajador al cual va a ingresarle la novedad, puede oprimir la imagen          que se encuentra en el titulo del campo "nombre", el cual le ayudara a buscar al trabajador por su nombre y Apellido desde allí seleccionarlo.</t>
        </is>
      </c>
    </row>
    <row r="23" ht="63.75" customHeight="1"/>
    <row r="24" ht="12" customHeight="1">
      <c r="B24" s="5" t="inlineStr">
        <is>
          <t>→</t>
        </is>
      </c>
      <c r="C24" s="99" t="inlineStr">
        <is>
          <t>Al seleccionar el tipo de novedad, aparecerán unos campos del registro en color. Estos significan lo siguiente:
                   Este color Indica que para esa novedad el campo es Opcional
                   Este color Indica que para esa novedad el campo es Obligatorio</t>
        </is>
      </c>
    </row>
    <row r="25" ht="63.75" customHeight="1"/>
    <row r="26">
      <c r="C26" s="99" t="n"/>
      <c r="D26" s="99" t="n"/>
      <c r="E26" s="99" t="n"/>
      <c r="F26" s="99" t="n"/>
      <c r="G26" s="99" t="n"/>
      <c r="H26" s="99" t="n"/>
      <c r="I26" s="99" t="n"/>
    </row>
    <row r="27" ht="12" customHeight="1">
      <c r="B27" s="5" t="inlineStr">
        <is>
          <t>→</t>
        </is>
      </c>
      <c r="C27" s="99" t="inlineStr">
        <is>
          <t>Tenga en cuenta que las listas desplegables de novedades no se activan, si no hay un código de empleado el esa línea.</t>
        </is>
      </c>
    </row>
    <row r="28"/>
    <row r="30" ht="12" customHeight="1">
      <c r="B30" s="5" t="inlineStr">
        <is>
          <t>→</t>
        </is>
      </c>
      <c r="C30" s="99" t="inlineStr">
        <is>
          <t xml:space="preserve">Para la eliminación de registros solo se puede hacer seleccionándolos en el campo identificación y oprimiendo el botón de "eliminar registros seleccionados" </t>
        </is>
      </c>
    </row>
    <row r="31" ht="19.5" customHeight="1"/>
    <row r="32" ht="8.25" customHeight="1">
      <c r="C32" s="99" t="n"/>
      <c r="D32" s="99" t="n"/>
      <c r="E32" s="99" t="n"/>
      <c r="F32" s="99" t="n"/>
      <c r="G32" s="99" t="n"/>
      <c r="H32" s="99" t="n"/>
      <c r="I32" s="99" t="n"/>
    </row>
    <row r="33" ht="13.5" customHeight="1">
      <c r="B33" s="5" t="inlineStr">
        <is>
          <t>→</t>
        </is>
      </c>
      <c r="C33" s="100" t="inlineStr">
        <is>
          <t>Usted cuenta con 5 pestañas para el reporte de las diferentes novedades de Nómina:</t>
        </is>
      </c>
    </row>
    <row r="34" ht="13.5" customHeight="1">
      <c r="B34" s="5" t="n"/>
      <c r="C34" s="100" t="n"/>
      <c r="D34" s="100" t="n"/>
      <c r="E34" s="100" t="n"/>
      <c r="F34" s="100" t="n"/>
      <c r="G34" s="100" t="n"/>
      <c r="H34" s="100" t="n"/>
      <c r="I34" s="100" t="n"/>
    </row>
    <row r="35" hidden="1" ht="14.25" customHeight="1">
      <c r="C35" s="6" t="inlineStr">
        <is>
          <t>Ingresos</t>
        </is>
      </c>
      <c r="D35" s="99" t="inlineStr">
        <is>
          <t>Diligencie la información del personal nuevo de la compañía.</t>
        </is>
      </c>
    </row>
    <row r="36" hidden="1">
      <c r="C36" s="7" t="n"/>
      <c r="D36" s="7" t="n"/>
      <c r="E36" s="7" t="n"/>
      <c r="F36" s="7" t="n"/>
      <c r="G36" s="7" t="n"/>
      <c r="H36" s="7" t="n"/>
      <c r="I36" s="7" t="n"/>
    </row>
    <row r="37" ht="85.5" customHeight="1">
      <c r="C37" s="6" t="inlineStr">
        <is>
          <t>Ocasionales:</t>
        </is>
      </c>
      <c r="D37" s="99" t="inlineStr">
        <is>
          <t>Aquí se registran las novedades que se deben aplicar para el periodo actual y que no tienen un patrón de continuidad establecido, tampoco se incluyen ausentismos, vacaciones ni cambios en los datos personales y de contrato de los trabajadores, ya que este reporte se realiza en pestañas diferentes. Usted puede reporta aquí, las novedades que se encuentran en la tabla "Ocasionales" de la pestaña "matriz de conceptos".</t>
        </is>
      </c>
    </row>
    <row r="38">
      <c r="C38" s="7" t="n"/>
      <c r="D38" s="7" t="n"/>
      <c r="E38" s="7" t="n"/>
      <c r="F38" s="7" t="n"/>
      <c r="G38" s="7" t="n"/>
      <c r="H38" s="7" t="n"/>
      <c r="I38" s="7" t="n"/>
    </row>
    <row r="39" ht="48.75" customHeight="1">
      <c r="C39" s="8" t="inlineStr">
        <is>
          <t>Fijas:</t>
        </is>
      </c>
      <c r="D39" s="99" t="inlineStr">
        <is>
          <t>Aquí se registran las novedades que se deben aplicar desde el periodo actual en adelante con un patrón de repetición. Usted puede reporta aquí, las novedades que se encuentran en la tabla "Fijas" de la pestaña "matriz de conceptos".</t>
        </is>
      </c>
    </row>
    <row r="40">
      <c r="C40" s="7" t="n"/>
      <c r="D40" s="7" t="n"/>
      <c r="E40" s="7" t="n"/>
      <c r="F40" s="7" t="n"/>
      <c r="G40" s="7" t="n"/>
      <c r="H40" s="7" t="n"/>
      <c r="I40" s="7" t="n"/>
    </row>
    <row r="41" ht="31.5" customHeight="1">
      <c r="C41" s="8" t="inlineStr">
        <is>
          <t>Ausentismos y Vacaciones:</t>
        </is>
      </c>
      <c r="D41" s="99" t="inlineStr">
        <is>
          <t>Registre en esta pestaña las Ausencias del personal, así como las vacaciones disfrutadas y en dinero.</t>
        </is>
      </c>
    </row>
    <row r="42">
      <c r="C42" s="7" t="n"/>
      <c r="D42" s="7" t="n"/>
      <c r="E42" s="7" t="n"/>
      <c r="F42" s="7" t="n"/>
      <c r="G42" s="7" t="n"/>
      <c r="H42" s="7" t="n"/>
      <c r="I42" s="7" t="n"/>
    </row>
    <row r="43" ht="48.75" customHeight="1">
      <c r="C43" s="6" t="inlineStr">
        <is>
          <t>Cambios :</t>
        </is>
      </c>
      <c r="D43" s="99" t="inlineStr">
        <is>
          <t>Los cambios que generen afectación al pago y los registros contables de los trabajadores, así como su información laboral y de seguridad social, deben ingresarse en esta pestaña</t>
        </is>
      </c>
    </row>
    <row r="44" ht="23.9" customHeight="1">
      <c r="C44" s="6" t="inlineStr">
        <is>
          <t>Corrección de Información:</t>
        </is>
      </c>
      <c r="D44" s="99" t="inlineStr">
        <is>
          <t>Usted encontrará un maestro de empleados en el cual puede realizar las correcciones a la información que considere que no es consistente o se haya cambiado.</t>
        </is>
      </c>
    </row>
    <row r="45">
      <c r="C45" s="7" t="n"/>
      <c r="D45" s="7" t="n"/>
      <c r="E45" s="7" t="n"/>
      <c r="F45" s="7" t="n"/>
      <c r="G45" s="7" t="n"/>
      <c r="H45" s="7" t="n"/>
      <c r="I45" s="7" t="n"/>
    </row>
    <row r="46" ht="12" customHeight="1">
      <c r="B46" s="5" t="inlineStr">
        <is>
          <t>→</t>
        </is>
      </c>
      <c r="C46" s="99" t="inlineStr">
        <is>
          <t>Tenga en cuenta que las listas desplegables de novedades no se activan, si no hay un código de empleado el esa línea.</t>
        </is>
      </c>
    </row>
    <row r="47"/>
    <row r="48">
      <c r="C48" s="99" t="n"/>
      <c r="D48" s="99" t="n"/>
      <c r="E48" s="99" t="n"/>
      <c r="F48" s="99" t="n"/>
      <c r="G48" s="99" t="n"/>
      <c r="H48" s="99" t="n"/>
      <c r="I48" s="99" t="n"/>
    </row>
    <row r="49" ht="12" customHeight="1">
      <c r="B49" s="5" t="inlineStr">
        <is>
          <t>→</t>
        </is>
      </c>
      <c r="C49" s="99" t="inlineStr">
        <is>
          <t>Si tiene dudas que el presente instructivo no aclare, recuerde que cuenta con la ayuda del Analista de Nómina asignado a su cuenta.</t>
        </is>
      </c>
    </row>
    <row r="50"/>
    <row r="51" ht="48" customHeight="1"/>
    <row r="52">
      <c r="C52" s="9" t="inlineStr">
        <is>
          <t>Adecco Payroll</t>
        </is>
      </c>
    </row>
  </sheetData>
  <mergeCells count="16">
    <mergeCell ref="C49:I50"/>
    <mergeCell ref="D43:I43"/>
    <mergeCell ref="C13:I14"/>
    <mergeCell ref="C22:I23"/>
    <mergeCell ref="C30:I31"/>
    <mergeCell ref="D37:I37"/>
    <mergeCell ref="D41:I41"/>
    <mergeCell ref="D44:I44"/>
    <mergeCell ref="C27:I28"/>
    <mergeCell ref="D35:I35"/>
    <mergeCell ref="C46:I47"/>
    <mergeCell ref="C24:I25"/>
    <mergeCell ref="C33:I33"/>
    <mergeCell ref="B8:I8"/>
    <mergeCell ref="D39:I39"/>
    <mergeCell ref="C10:I11"/>
  </mergeCells>
  <hyperlinks>
    <hyperlink ref="C35" location="Ocacionales!A1" display="Ingresos"/>
    <hyperlink ref="C37" location="Ocacionales!A1" display="Ocasionales:"/>
    <hyperlink ref="C39" location="Fijas!A1" display="Fijas:"/>
    <hyperlink ref="C41" location="'Ausentismos Vacaciones'!A1" display="Ausentismos y Vacaciones:"/>
    <hyperlink ref="C43" location="Cambios!A1" display="Cambios :"/>
    <hyperlink ref="C44" location="'Cambios Maestro'!A1" display="Corrección de Información:"/>
  </hyperlinks>
  <pageMargins left="0.7" right="0.7" top="0.75" bottom="0.75" header="0.511811023622047" footer="0.511811023622047"/>
  <pageSetup orientation="portrait"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T40"/>
  <sheetViews>
    <sheetView showGridLines="0" topLeftCell="F1" zoomScaleNormal="100" workbookViewId="0">
      <selection activeCell="M34" sqref="M34"/>
    </sheetView>
  </sheetViews>
  <sheetFormatPr baseColWidth="10" defaultColWidth="11.453125" defaultRowHeight="11.5"/>
  <cols>
    <col width="13.7265625" customWidth="1" style="10" min="1" max="1"/>
    <col outlineLevel="1" width="16.453125" customWidth="1" style="10" min="2" max="2"/>
    <col outlineLevel="1" width="12.453125" customWidth="1" style="10" min="3" max="3"/>
    <col outlineLevel="1" width="37" customWidth="1" style="10" min="4" max="4"/>
    <col outlineLevel="1" width="10.1796875" customWidth="1" style="10" min="5" max="5"/>
    <col outlineLevel="1" width="14.453125" customWidth="1" style="10" min="6" max="6"/>
    <col width="11.453125" customWidth="1" style="10" min="7" max="7"/>
    <col width="13.7265625" customWidth="1" style="10" min="8" max="8"/>
    <col outlineLevel="1" width="11" customWidth="1" style="10" min="9" max="9"/>
    <col outlineLevel="1" width="11.54296875" customWidth="1" style="10" min="10" max="10"/>
    <col outlineLevel="1" width="33.54296875" customWidth="1" style="10" min="11" max="11"/>
    <col width="8.7265625" customWidth="1" style="10" min="12" max="12"/>
    <col width="28.26953125" customWidth="1" style="10" min="13" max="14"/>
    <col hidden="1" outlineLevel="1" width="11.453125" customWidth="1" style="10" min="15" max="15"/>
    <col hidden="1" outlineLevel="1" width="10" customWidth="1" style="10" min="16" max="16"/>
    <col hidden="1" outlineLevel="1" width="12.453125" customWidth="1" style="10" min="17" max="17"/>
    <col hidden="1" outlineLevel="1" width="11.453125" customWidth="1" style="10" min="18" max="18"/>
    <col width="11.453125" customWidth="1" style="10" min="19" max="19"/>
    <col width="19" customWidth="1" style="10" min="20" max="20"/>
    <col width="20.453125" customWidth="1" style="10" min="21" max="21"/>
    <col width="13.54296875" customWidth="1" style="10" min="22" max="22"/>
    <col width="27.26953125" customWidth="1" style="10" min="23" max="23"/>
    <col width="11.453125" customWidth="1" style="10" min="24" max="16384"/>
  </cols>
  <sheetData>
    <row r="1">
      <c r="A1" s="11" t="n"/>
      <c r="B1" s="103" t="n">
        <v>1</v>
      </c>
    </row>
    <row r="3">
      <c r="A3" s="13" t="inlineStr">
        <is>
          <t>Ocacionales</t>
        </is>
      </c>
      <c r="H3" s="13" t="inlineStr">
        <is>
          <t>Fijas</t>
        </is>
      </c>
      <c r="M3" s="13" t="inlineStr">
        <is>
          <t>Ausentismos Vacaciones</t>
        </is>
      </c>
      <c r="N3" s="13" t="n"/>
      <c r="T3" s="13" t="inlineStr">
        <is>
          <t>Cambios</t>
        </is>
      </c>
    </row>
    <row r="5">
      <c r="A5" s="14" t="inlineStr">
        <is>
          <t>modalidad</t>
        </is>
      </c>
      <c r="B5" s="14" t="inlineStr">
        <is>
          <t>codigo</t>
        </is>
      </c>
      <c r="C5" s="10" t="inlineStr">
        <is>
          <t>aplicación</t>
        </is>
      </c>
      <c r="D5" s="10" t="inlineStr">
        <is>
          <t>descripción general</t>
        </is>
      </c>
      <c r="E5" s="10" t="inlineStr">
        <is>
          <t>cantidad</t>
        </is>
      </c>
      <c r="F5" s="10" t="inlineStr">
        <is>
          <t>valor</t>
        </is>
      </c>
      <c r="H5" s="15" t="inlineStr">
        <is>
          <t>modalidad</t>
        </is>
      </c>
      <c r="I5" s="16" t="inlineStr">
        <is>
          <t>codigo</t>
        </is>
      </c>
      <c r="J5" s="17" t="inlineStr">
        <is>
          <t>aplicación</t>
        </is>
      </c>
      <c r="K5" s="17" t="inlineStr">
        <is>
          <t>descripción general</t>
        </is>
      </c>
      <c r="L5" s="17" t="n"/>
      <c r="M5" s="10" t="inlineStr">
        <is>
          <t>Tipo</t>
        </is>
      </c>
      <c r="N5" s="10" t="inlineStr">
        <is>
          <t>fecha inicial</t>
        </is>
      </c>
      <c r="O5" s="10" t="inlineStr">
        <is>
          <t>fecha final</t>
        </is>
      </c>
      <c r="P5" s="10" t="inlineStr">
        <is>
          <t>prorroga</t>
        </is>
      </c>
      <c r="Q5" s="10" t="inlineStr">
        <is>
          <t>Diagnostico</t>
        </is>
      </c>
      <c r="T5" s="17" t="inlineStr">
        <is>
          <t>descripción general</t>
        </is>
      </c>
    </row>
    <row r="6">
      <c r="A6" s="18" t="inlineStr">
        <is>
          <t>DEVENGO</t>
        </is>
      </c>
      <c r="B6" s="19" t="inlineStr">
        <is>
          <t>001052</t>
        </is>
      </c>
      <c r="C6" s="18" t="inlineStr">
        <is>
          <t xml:space="preserve">Normal              </t>
        </is>
      </c>
      <c r="D6" s="18" t="inlineStr">
        <is>
          <t>Ajuste de Salario</t>
        </is>
      </c>
      <c r="E6" s="18" t="inlineStr">
        <is>
          <t>Opcional</t>
        </is>
      </c>
      <c r="F6" s="18" t="inlineStr">
        <is>
          <t>Obligatorio</t>
        </is>
      </c>
      <c r="H6" s="18" t="inlineStr">
        <is>
          <t>DEDUCCION</t>
        </is>
      </c>
      <c r="I6" s="19" t="inlineStr">
        <is>
          <t>282269</t>
        </is>
      </c>
      <c r="J6" s="18" t="inlineStr">
        <is>
          <t xml:space="preserve">Normal              </t>
        </is>
      </c>
      <c r="K6" s="18" t="inlineStr">
        <is>
          <t>AFC AVVillas</t>
        </is>
      </c>
      <c r="L6" s="17" t="n"/>
      <c r="M6" s="18" t="inlineStr">
        <is>
          <t>Vacaciones Disfrutadas</t>
        </is>
      </c>
      <c r="N6" s="18" t="inlineStr">
        <is>
          <t>Obligatorio</t>
        </is>
      </c>
      <c r="O6" s="18" t="inlineStr">
        <is>
          <t>Obligatorio</t>
        </is>
      </c>
      <c r="P6" s="18" t="n"/>
      <c r="Q6" s="18" t="n"/>
      <c r="T6" s="18" t="inlineStr">
        <is>
          <t>Cargo</t>
        </is>
      </c>
    </row>
    <row r="7">
      <c r="A7" s="18" t="inlineStr">
        <is>
          <t>DEVENGO</t>
        </is>
      </c>
      <c r="B7" s="19" t="inlineStr">
        <is>
          <t>001300</t>
        </is>
      </c>
      <c r="C7" s="18" t="inlineStr">
        <is>
          <t xml:space="preserve">Normal              </t>
        </is>
      </c>
      <c r="D7" s="18" t="inlineStr">
        <is>
          <t>Auxilio de Transporte o Conectividad</t>
        </is>
      </c>
      <c r="E7" s="18" t="inlineStr">
        <is>
          <t>Opcional</t>
        </is>
      </c>
      <c r="F7" s="18" t="inlineStr">
        <is>
          <t>Obligatorio</t>
        </is>
      </c>
      <c r="H7" s="18" t="inlineStr">
        <is>
          <t>DEDUCCION</t>
        </is>
      </c>
      <c r="I7" s="19" t="inlineStr">
        <is>
          <t>282264</t>
        </is>
      </c>
      <c r="J7" s="18" t="inlineStr">
        <is>
          <t xml:space="preserve">Normal              </t>
        </is>
      </c>
      <c r="K7" s="18" t="inlineStr">
        <is>
          <t>AFC Bancolombia</t>
        </is>
      </c>
      <c r="M7" s="18" t="inlineStr">
        <is>
          <t>Vacaciones en dinero</t>
        </is>
      </c>
      <c r="N7" s="18" t="inlineStr">
        <is>
          <t>Obligatorio</t>
        </is>
      </c>
      <c r="O7" s="18" t="inlineStr">
        <is>
          <t>Obligatorio</t>
        </is>
      </c>
      <c r="P7" s="18" t="n"/>
      <c r="Q7" s="18" t="n"/>
      <c r="T7" s="18" t="inlineStr">
        <is>
          <t>CCF</t>
        </is>
      </c>
    </row>
    <row r="8">
      <c r="A8" s="18" t="inlineStr">
        <is>
          <t>DEVENGO</t>
        </is>
      </c>
      <c r="B8" s="19" t="inlineStr">
        <is>
          <t>001157</t>
        </is>
      </c>
      <c r="C8" s="18" t="inlineStr">
        <is>
          <t xml:space="preserve">Normal              </t>
        </is>
      </c>
      <c r="D8" s="18" t="inlineStr">
        <is>
          <t>Bonificacion No Salarial</t>
        </is>
      </c>
      <c r="E8" s="18" t="inlineStr">
        <is>
          <t>Opcional</t>
        </is>
      </c>
      <c r="F8" s="18" t="inlineStr">
        <is>
          <t>Obligatorio</t>
        </is>
      </c>
      <c r="H8" s="18" t="inlineStr">
        <is>
          <t>DEDUCCION</t>
        </is>
      </c>
      <c r="I8" s="19" t="inlineStr">
        <is>
          <t>282265</t>
        </is>
      </c>
      <c r="J8" s="18" t="inlineStr">
        <is>
          <t xml:space="preserve">Normal              </t>
        </is>
      </c>
      <c r="K8" s="18" t="inlineStr">
        <is>
          <t>AFC BBVA</t>
        </is>
      </c>
      <c r="M8" s="18" t="inlineStr">
        <is>
          <t>Incapacidad General</t>
        </is>
      </c>
      <c r="N8" s="18" t="inlineStr">
        <is>
          <t>Obligatorio</t>
        </is>
      </c>
      <c r="O8" s="18" t="inlineStr">
        <is>
          <t>Obligatorio</t>
        </is>
      </c>
      <c r="P8" s="18" t="inlineStr">
        <is>
          <t>Obligatorio</t>
        </is>
      </c>
      <c r="Q8" s="18" t="inlineStr">
        <is>
          <t>Opcional</t>
        </is>
      </c>
      <c r="T8" s="18" t="inlineStr">
        <is>
          <t>Centro de Costos</t>
        </is>
      </c>
    </row>
    <row r="9">
      <c r="A9" s="18" t="inlineStr">
        <is>
          <t>DEVENGO</t>
        </is>
      </c>
      <c r="B9" s="19" t="inlineStr">
        <is>
          <t>001610</t>
        </is>
      </c>
      <c r="C9" s="18" t="inlineStr">
        <is>
          <t xml:space="preserve">Normal              </t>
        </is>
      </c>
      <c r="D9" s="18" t="inlineStr">
        <is>
          <t>Bonificación Por Retiro</t>
        </is>
      </c>
      <c r="E9" s="18" t="inlineStr">
        <is>
          <t>Opcional</t>
        </is>
      </c>
      <c r="F9" s="18" t="inlineStr">
        <is>
          <t>Obligatorio</t>
        </is>
      </c>
      <c r="H9" s="18" t="inlineStr">
        <is>
          <t>DEDUCCION</t>
        </is>
      </c>
      <c r="I9" s="19" t="inlineStr">
        <is>
          <t>282266</t>
        </is>
      </c>
      <c r="J9" s="18" t="inlineStr">
        <is>
          <t xml:space="preserve">Normal              </t>
        </is>
      </c>
      <c r="K9" s="18" t="inlineStr">
        <is>
          <t>AFC Colmena</t>
        </is>
      </c>
      <c r="M9" s="18" t="inlineStr">
        <is>
          <t xml:space="preserve">Incapacidad Accidente Laboral </t>
        </is>
      </c>
      <c r="N9" s="18" t="inlineStr">
        <is>
          <t>Obligatorio</t>
        </is>
      </c>
      <c r="O9" s="18" t="inlineStr">
        <is>
          <t>Obligatorio</t>
        </is>
      </c>
      <c r="P9" s="18" t="inlineStr">
        <is>
          <t>Obligatorio</t>
        </is>
      </c>
      <c r="Q9" s="18" t="inlineStr">
        <is>
          <t>Opcional</t>
        </is>
      </c>
      <c r="T9" s="18" t="inlineStr">
        <is>
          <t>Dato Personal</t>
        </is>
      </c>
    </row>
    <row r="10">
      <c r="A10" s="18" t="inlineStr">
        <is>
          <t>DEVENGO</t>
        </is>
      </c>
      <c r="B10" s="19" t="inlineStr">
        <is>
          <t>001530</t>
        </is>
      </c>
      <c r="C10" s="18" t="inlineStr">
        <is>
          <t xml:space="preserve">Normal              </t>
        </is>
      </c>
      <c r="D10" s="18" t="inlineStr">
        <is>
          <t>Cesantias Parciales</t>
        </is>
      </c>
      <c r="E10" s="18" t="inlineStr">
        <is>
          <t>Opcional</t>
        </is>
      </c>
      <c r="F10" s="18" t="inlineStr">
        <is>
          <t>Obligatorio</t>
        </is>
      </c>
      <c r="H10" s="18" t="inlineStr">
        <is>
          <t>DEDUCCION</t>
        </is>
      </c>
      <c r="I10" s="19" t="inlineStr">
        <is>
          <t>282262</t>
        </is>
      </c>
      <c r="J10" s="18" t="inlineStr">
        <is>
          <t xml:space="preserve">Normal              </t>
        </is>
      </c>
      <c r="K10" s="18" t="inlineStr">
        <is>
          <t>AFC Colpatria</t>
        </is>
      </c>
      <c r="M10" s="18" t="inlineStr">
        <is>
          <t>Incapacidad Enfermedad Laboral</t>
        </is>
      </c>
      <c r="N10" s="18" t="inlineStr">
        <is>
          <t>Obligatorio</t>
        </is>
      </c>
      <c r="O10" s="18" t="inlineStr">
        <is>
          <t>Obligatorio</t>
        </is>
      </c>
      <c r="P10" s="18" t="n"/>
      <c r="Q10" s="18" t="inlineStr">
        <is>
          <t>Opcional</t>
        </is>
      </c>
      <c r="T10" s="18" t="inlineStr">
        <is>
          <t>Eps</t>
        </is>
      </c>
    </row>
    <row r="11">
      <c r="A11" s="18" t="inlineStr">
        <is>
          <t>DEVENGO</t>
        </is>
      </c>
      <c r="B11" s="19" t="inlineStr">
        <is>
          <t>001070</t>
        </is>
      </c>
      <c r="C11" s="18" t="inlineStr">
        <is>
          <t xml:space="preserve">Normal              </t>
        </is>
      </c>
      <c r="D11" s="18" t="inlineStr">
        <is>
          <t>Descanso compensatorio</t>
        </is>
      </c>
      <c r="E11" s="18" t="inlineStr">
        <is>
          <t>Opcional</t>
        </is>
      </c>
      <c r="F11" s="18" t="inlineStr">
        <is>
          <t>Obligatorio</t>
        </is>
      </c>
      <c r="H11" s="18" t="inlineStr">
        <is>
          <t>DEDUCCION</t>
        </is>
      </c>
      <c r="I11" s="19" t="inlineStr">
        <is>
          <t>282270</t>
        </is>
      </c>
      <c r="J11" s="18" t="inlineStr">
        <is>
          <t xml:space="preserve">Normal              </t>
        </is>
      </c>
      <c r="K11" s="18" t="inlineStr">
        <is>
          <t>AFC Coomeva</t>
        </is>
      </c>
      <c r="M11" s="18" t="inlineStr">
        <is>
          <t>Permiso Remunerado</t>
        </is>
      </c>
      <c r="N11" s="18" t="inlineStr">
        <is>
          <t>Obligatorio</t>
        </is>
      </c>
      <c r="O11" s="18" t="inlineStr">
        <is>
          <t>Obligatorio</t>
        </is>
      </c>
      <c r="P11" s="18" t="n"/>
      <c r="Q11" s="18" t="inlineStr">
        <is>
          <t>Opcional</t>
        </is>
      </c>
      <c r="T11" s="18" t="inlineStr">
        <is>
          <t>Fondo cesantias</t>
        </is>
      </c>
    </row>
    <row r="12">
      <c r="A12" s="18" t="inlineStr">
        <is>
          <t>DEVENGO</t>
        </is>
      </c>
      <c r="B12" s="19" t="inlineStr">
        <is>
          <t>001067</t>
        </is>
      </c>
      <c r="C12" s="18" t="inlineStr">
        <is>
          <t xml:space="preserve">Normal              </t>
        </is>
      </c>
      <c r="D12" s="18" t="inlineStr">
        <is>
          <t>Hora Dominical o Festiva Ordinaria 175%</t>
        </is>
      </c>
      <c r="E12" s="18" t="inlineStr">
        <is>
          <t>Obligatorio</t>
        </is>
      </c>
      <c r="F12" s="18" t="inlineStr">
        <is>
          <t>No Aplica</t>
        </is>
      </c>
      <c r="H12" s="18" t="inlineStr">
        <is>
          <t>DEDUCCION</t>
        </is>
      </c>
      <c r="I12" s="19" t="inlineStr">
        <is>
          <t>282263</t>
        </is>
      </c>
      <c r="J12" s="18" t="inlineStr">
        <is>
          <t xml:space="preserve">Normal              </t>
        </is>
      </c>
      <c r="K12" s="18" t="inlineStr">
        <is>
          <t>AFC Davivienda</t>
        </is>
      </c>
      <c r="M12" s="18" t="inlineStr">
        <is>
          <t xml:space="preserve">Licencia de Maternidad </t>
        </is>
      </c>
      <c r="N12" s="18" t="inlineStr">
        <is>
          <t>Obligatorio</t>
        </is>
      </c>
      <c r="O12" s="18" t="inlineStr">
        <is>
          <t>Obligatorio</t>
        </is>
      </c>
      <c r="P12" s="18" t="n"/>
      <c r="Q12" s="18" t="inlineStr">
        <is>
          <t>No Aplica</t>
        </is>
      </c>
      <c r="T12" s="18" t="inlineStr">
        <is>
          <t>Fondo de Pensiones</t>
        </is>
      </c>
    </row>
    <row r="13">
      <c r="A13" s="18" t="inlineStr">
        <is>
          <t>DEVENGO</t>
        </is>
      </c>
      <c r="B13" s="19" t="inlineStr">
        <is>
          <t>001063</t>
        </is>
      </c>
      <c r="C13" s="18" t="inlineStr">
        <is>
          <t xml:space="preserve">Normal              </t>
        </is>
      </c>
      <c r="D13" s="18" t="inlineStr">
        <is>
          <t>Hora Extra Dominical o Festiva Diurna 200%</t>
        </is>
      </c>
      <c r="E13" s="18" t="inlineStr">
        <is>
          <t>Obligatorio</t>
        </is>
      </c>
      <c r="F13" s="18" t="inlineStr">
        <is>
          <t>No Aplica</t>
        </is>
      </c>
      <c r="H13" s="18" t="inlineStr">
        <is>
          <t>DEDUCCION</t>
        </is>
      </c>
      <c r="I13" s="19" t="inlineStr">
        <is>
          <t>282271</t>
        </is>
      </c>
      <c r="J13" s="18" t="inlineStr">
        <is>
          <t xml:space="preserve">Normal              </t>
        </is>
      </c>
      <c r="K13" s="18" t="inlineStr">
        <is>
          <t>AFC FNA</t>
        </is>
      </c>
      <c r="M13" s="18" t="inlineStr">
        <is>
          <t>Licencia de Paternidad</t>
        </is>
      </c>
      <c r="N13" s="18" t="inlineStr">
        <is>
          <t>Obligatorio</t>
        </is>
      </c>
      <c r="O13" s="18" t="inlineStr">
        <is>
          <t>Obligatorio</t>
        </is>
      </c>
      <c r="P13" s="18" t="n"/>
      <c r="Q13" s="18" t="n"/>
      <c r="T13" s="18" t="inlineStr">
        <is>
          <t>Pensionado</t>
        </is>
      </c>
    </row>
    <row r="14">
      <c r="A14" s="18" t="inlineStr">
        <is>
          <t>DEVENGO</t>
        </is>
      </c>
      <c r="B14" s="19" t="inlineStr">
        <is>
          <t>001064</t>
        </is>
      </c>
      <c r="C14" s="18" t="inlineStr">
        <is>
          <t xml:space="preserve">Normal              </t>
        </is>
      </c>
      <c r="D14" s="18" t="inlineStr">
        <is>
          <t>Hora Extra Dominical o Festiva Nocturna 250%</t>
        </is>
      </c>
      <c r="E14" s="18" t="inlineStr">
        <is>
          <t>Obligatorio</t>
        </is>
      </c>
      <c r="F14" s="18" t="inlineStr">
        <is>
          <t>No Aplica</t>
        </is>
      </c>
      <c r="H14" s="18" t="inlineStr">
        <is>
          <t>DEDUCCION</t>
        </is>
      </c>
      <c r="I14" s="19" t="inlineStr">
        <is>
          <t>282268</t>
        </is>
      </c>
      <c r="J14" s="18" t="inlineStr">
        <is>
          <t xml:space="preserve">Normal              </t>
        </is>
      </c>
      <c r="K14" s="18" t="inlineStr">
        <is>
          <t>AFC Helm Bank</t>
        </is>
      </c>
      <c r="M14" s="18" t="inlineStr">
        <is>
          <t>Sanción</t>
        </is>
      </c>
      <c r="N14" s="18" t="inlineStr">
        <is>
          <t>Obligatorio</t>
        </is>
      </c>
      <c r="O14" s="18" t="inlineStr">
        <is>
          <t>Obligatorio</t>
        </is>
      </c>
      <c r="P14" s="18" t="n"/>
      <c r="Q14" s="18" t="inlineStr">
        <is>
          <t>Opcional</t>
        </is>
      </c>
      <c r="T14" s="18" t="inlineStr">
        <is>
          <t>Sabado Dia Hábil</t>
        </is>
      </c>
    </row>
    <row r="15">
      <c r="A15" s="18" t="inlineStr">
        <is>
          <t>DEVENGO</t>
        </is>
      </c>
      <c r="B15" s="19" t="inlineStr">
        <is>
          <t>001061</t>
        </is>
      </c>
      <c r="C15" s="18" t="inlineStr">
        <is>
          <t xml:space="preserve">Normal              </t>
        </is>
      </c>
      <c r="D15" s="18" t="inlineStr">
        <is>
          <t>Horas Extras Diurnas 125%</t>
        </is>
      </c>
      <c r="E15" s="18" t="inlineStr">
        <is>
          <t>Obligatorio</t>
        </is>
      </c>
      <c r="F15" s="18" t="inlineStr">
        <is>
          <t>No Aplica</t>
        </is>
      </c>
      <c r="H15" s="18" t="inlineStr">
        <is>
          <t>DEDUCCION</t>
        </is>
      </c>
      <c r="I15" s="19" t="inlineStr">
        <is>
          <t>282267</t>
        </is>
      </c>
      <c r="J15" s="18" t="inlineStr">
        <is>
          <t xml:space="preserve">Normal              </t>
        </is>
      </c>
      <c r="K15" s="18" t="inlineStr">
        <is>
          <t>AFC ING</t>
        </is>
      </c>
      <c r="M15" s="18" t="inlineStr">
        <is>
          <t>Licencia no remunerada</t>
        </is>
      </c>
      <c r="N15" s="18" t="inlineStr">
        <is>
          <t>Obligatorio</t>
        </is>
      </c>
      <c r="O15" s="18" t="inlineStr">
        <is>
          <t>Obligatorio</t>
        </is>
      </c>
      <c r="P15" s="18" t="n"/>
      <c r="Q15" s="18" t="inlineStr">
        <is>
          <t>Opcional</t>
        </is>
      </c>
      <c r="T15" s="18" t="inlineStr">
        <is>
          <t>Salario</t>
        </is>
      </c>
    </row>
    <row r="16">
      <c r="A16" s="18" t="inlineStr">
        <is>
          <t>DEVENGO</t>
        </is>
      </c>
      <c r="B16" s="19" t="inlineStr">
        <is>
          <t>001062</t>
        </is>
      </c>
      <c r="C16" s="18" t="inlineStr">
        <is>
          <t xml:space="preserve">Normal              </t>
        </is>
      </c>
      <c r="D16" s="18" t="inlineStr">
        <is>
          <t>Horas Extras Nocturnas 175%</t>
        </is>
      </c>
      <c r="E16" s="18" t="inlineStr">
        <is>
          <t>Obligatorio</t>
        </is>
      </c>
      <c r="F16" s="18" t="inlineStr">
        <is>
          <t>No Aplica</t>
        </is>
      </c>
      <c r="H16" s="18" t="inlineStr">
        <is>
          <t>DEDUCCION</t>
        </is>
      </c>
      <c r="I16" s="19" t="inlineStr">
        <is>
          <t>282256</t>
        </is>
      </c>
      <c r="J16" s="18" t="inlineStr">
        <is>
          <t xml:space="preserve">Normal              </t>
        </is>
      </c>
      <c r="K16" s="18" t="inlineStr">
        <is>
          <t>AFC Old Mutual</t>
        </is>
      </c>
      <c r="M16" s="18" t="inlineStr">
        <is>
          <t>Licencia Por luto</t>
        </is>
      </c>
      <c r="N16" s="18" t="inlineStr">
        <is>
          <t>Obligatorio</t>
        </is>
      </c>
      <c r="O16" s="18" t="inlineStr">
        <is>
          <t>Obligatorio</t>
        </is>
      </c>
      <c r="P16" s="18" t="n"/>
      <c r="Q16" s="18" t="inlineStr">
        <is>
          <t>Opcional</t>
        </is>
      </c>
      <c r="T16" s="18" t="inlineStr">
        <is>
          <t>Sucursal</t>
        </is>
      </c>
    </row>
    <row r="17">
      <c r="A17" s="18" t="inlineStr">
        <is>
          <t>DEVENGO</t>
        </is>
      </c>
      <c r="B17" s="19" t="inlineStr">
        <is>
          <t>001535</t>
        </is>
      </c>
      <c r="C17" s="18" t="inlineStr">
        <is>
          <t xml:space="preserve">Normal              </t>
        </is>
      </c>
      <c r="D17" s="18" t="inlineStr">
        <is>
          <t>Intereses Cesantias Parciales</t>
        </is>
      </c>
      <c r="E17" s="18" t="inlineStr">
        <is>
          <t>Opcional</t>
        </is>
      </c>
      <c r="F17" s="18" t="inlineStr">
        <is>
          <t>Obligatorio</t>
        </is>
      </c>
      <c r="H17" s="18" t="inlineStr">
        <is>
          <t>DEDUCCION</t>
        </is>
      </c>
      <c r="I17" s="19" t="inlineStr">
        <is>
          <t>282261</t>
        </is>
      </c>
      <c r="J17" s="18" t="inlineStr">
        <is>
          <t xml:space="preserve">Normal              </t>
        </is>
      </c>
      <c r="K17" s="18" t="inlineStr">
        <is>
          <t>APV BBVA Horizonte</t>
        </is>
      </c>
      <c r="M17" s="20" t="inlineStr">
        <is>
          <t>Compensatorio</t>
        </is>
      </c>
      <c r="N17" s="20" t="inlineStr">
        <is>
          <t>Obligatorio</t>
        </is>
      </c>
      <c r="O17" s="20" t="inlineStr">
        <is>
          <t>Obligatorio</t>
        </is>
      </c>
      <c r="P17" s="20" t="n"/>
      <c r="Q17" s="20" t="n"/>
      <c r="T17" s="18" t="inlineStr">
        <is>
          <t>Tipo de contrato</t>
        </is>
      </c>
    </row>
    <row r="18">
      <c r="A18" s="18" t="inlineStr">
        <is>
          <t>DEDUCCION</t>
        </is>
      </c>
      <c r="B18" s="19" t="inlineStr">
        <is>
          <t>002520</t>
        </is>
      </c>
      <c r="C18" s="18" t="inlineStr">
        <is>
          <t xml:space="preserve">Normal              </t>
        </is>
      </c>
      <c r="D18" s="18" t="inlineStr">
        <is>
          <t>Préstamo Compañía</t>
        </is>
      </c>
      <c r="E18" s="18" t="inlineStr">
        <is>
          <t>Opcional</t>
        </is>
      </c>
      <c r="F18" s="18" t="inlineStr">
        <is>
          <t>Obligatorio</t>
        </is>
      </c>
      <c r="H18" s="18" t="inlineStr">
        <is>
          <t>DEDUCCION</t>
        </is>
      </c>
      <c r="I18" s="19" t="inlineStr">
        <is>
          <t>282260</t>
        </is>
      </c>
      <c r="J18" s="18" t="inlineStr">
        <is>
          <t xml:space="preserve">Normal              </t>
        </is>
      </c>
      <c r="K18" s="18" t="inlineStr">
        <is>
          <t>APV Colfondos</t>
        </is>
      </c>
      <c r="M18" s="20" t="inlineStr">
        <is>
          <t>Dia de la familia</t>
        </is>
      </c>
      <c r="N18" s="20" t="inlineStr">
        <is>
          <t>Obligatorio</t>
        </is>
      </c>
      <c r="O18" s="20" t="n"/>
      <c r="P18" s="20" t="n"/>
      <c r="Q18" s="20" t="n"/>
      <c r="T18" s="18" t="inlineStr">
        <is>
          <t>Tipo de Salario</t>
        </is>
      </c>
    </row>
    <row r="19">
      <c r="A19" s="18" t="inlineStr">
        <is>
          <t>DEVENGO</t>
        </is>
      </c>
      <c r="B19" s="19" t="inlineStr">
        <is>
          <t>001501</t>
        </is>
      </c>
      <c r="C19" s="18" t="inlineStr">
        <is>
          <t xml:space="preserve">Normal              </t>
        </is>
      </c>
      <c r="D19" s="18" t="inlineStr">
        <is>
          <t>Prima Servicios Ajuste</t>
        </is>
      </c>
      <c r="E19" s="18" t="inlineStr">
        <is>
          <t>Opcional</t>
        </is>
      </c>
      <c r="F19" s="18" t="inlineStr">
        <is>
          <t>Obligatorio</t>
        </is>
      </c>
      <c r="H19" s="18" t="inlineStr">
        <is>
          <t>DEDUCCION</t>
        </is>
      </c>
      <c r="I19" s="19" t="inlineStr">
        <is>
          <t>282254</t>
        </is>
      </c>
      <c r="J19" s="18" t="inlineStr">
        <is>
          <t xml:space="preserve">Normal              </t>
        </is>
      </c>
      <c r="K19" s="18" t="inlineStr">
        <is>
          <t>APV Dafuturo</t>
        </is>
      </c>
      <c r="T19" s="18" t="inlineStr">
        <is>
          <t>Jefe Inmediato</t>
        </is>
      </c>
    </row>
    <row r="20">
      <c r="A20" s="18" t="inlineStr">
        <is>
          <t>DEVENGO</t>
        </is>
      </c>
      <c r="B20" s="19" t="inlineStr">
        <is>
          <t>001060</t>
        </is>
      </c>
      <c r="C20" s="18" t="inlineStr">
        <is>
          <t xml:space="preserve">Normal              </t>
        </is>
      </c>
      <c r="D20" s="18" t="inlineStr">
        <is>
          <t>Recargo Nocturno 35%</t>
        </is>
      </c>
      <c r="E20" s="18" t="inlineStr">
        <is>
          <t>Obligatorio</t>
        </is>
      </c>
      <c r="F20" s="18" t="inlineStr">
        <is>
          <t>No Aplica</t>
        </is>
      </c>
      <c r="H20" s="18" t="inlineStr">
        <is>
          <t>DEDUCCION</t>
        </is>
      </c>
      <c r="I20" s="19" t="inlineStr">
        <is>
          <t>282258</t>
        </is>
      </c>
      <c r="J20" s="18" t="inlineStr">
        <is>
          <t xml:space="preserve">Normal              </t>
        </is>
      </c>
      <c r="K20" s="18" t="inlineStr">
        <is>
          <t>APV ING</t>
        </is>
      </c>
      <c r="T20" s="18" t="inlineStr">
        <is>
          <t>Codigo alterno</t>
        </is>
      </c>
    </row>
    <row r="21">
      <c r="A21" s="18" t="inlineStr">
        <is>
          <t>DEVENGO</t>
        </is>
      </c>
      <c r="B21" s="19" t="inlineStr">
        <is>
          <t>001066</t>
        </is>
      </c>
      <c r="C21" s="18" t="inlineStr">
        <is>
          <t xml:space="preserve">Normal              </t>
        </is>
      </c>
      <c r="D21" s="18" t="inlineStr">
        <is>
          <t>Recargo Nocturno Dominical o Festivo 210%</t>
        </is>
      </c>
      <c r="E21" s="18" t="inlineStr">
        <is>
          <t>Obligatorio</t>
        </is>
      </c>
      <c r="F21" s="18" t="inlineStr">
        <is>
          <t>No Aplica</t>
        </is>
      </c>
      <c r="H21" s="18" t="inlineStr">
        <is>
          <t>DEDUCCION</t>
        </is>
      </c>
      <c r="I21" s="19" t="inlineStr">
        <is>
          <t>282259</t>
        </is>
      </c>
      <c r="J21" s="18" t="inlineStr">
        <is>
          <t xml:space="preserve">Normal              </t>
        </is>
      </c>
      <c r="K21" s="18" t="inlineStr">
        <is>
          <t>APV Porvenir</t>
        </is>
      </c>
      <c r="T21" s="20" t="inlineStr">
        <is>
          <t>Cuenta</t>
        </is>
      </c>
    </row>
    <row r="22">
      <c r="A22" s="18" t="inlineStr">
        <is>
          <t>DEVENGO</t>
        </is>
      </c>
      <c r="B22" s="19" t="inlineStr">
        <is>
          <t>001107</t>
        </is>
      </c>
      <c r="C22" s="18" t="inlineStr">
        <is>
          <t xml:space="preserve">Normal              </t>
        </is>
      </c>
      <c r="D22" s="18" t="inlineStr">
        <is>
          <t>ReteFte Mayor Vr. Descontado</t>
        </is>
      </c>
      <c r="E22" s="18" t="inlineStr">
        <is>
          <t>Opcional</t>
        </is>
      </c>
      <c r="F22" s="18" t="inlineStr">
        <is>
          <t>Obligatorio</t>
        </is>
      </c>
      <c r="H22" s="18" t="inlineStr">
        <is>
          <t>DEDUCCION</t>
        </is>
      </c>
      <c r="I22" s="19" t="inlineStr">
        <is>
          <t>282257</t>
        </is>
      </c>
      <c r="J22" s="18" t="inlineStr">
        <is>
          <t xml:space="preserve">Normal              </t>
        </is>
      </c>
      <c r="K22" s="18" t="inlineStr">
        <is>
          <t>APV Proteccion</t>
        </is>
      </c>
    </row>
    <row r="23">
      <c r="A23" s="18" t="inlineStr">
        <is>
          <t>DEVENGO</t>
        </is>
      </c>
      <c r="B23" s="19" t="inlineStr">
        <is>
          <t>001203</t>
        </is>
      </c>
      <c r="C23" s="18" t="inlineStr">
        <is>
          <t xml:space="preserve">Normal              </t>
        </is>
      </c>
      <c r="D23" s="18" t="inlineStr">
        <is>
          <t>Retroactivo</t>
        </is>
      </c>
      <c r="E23" s="18" t="inlineStr">
        <is>
          <t>Opcional</t>
        </is>
      </c>
      <c r="F23" s="18" t="inlineStr">
        <is>
          <t>Obligatorio</t>
        </is>
      </c>
      <c r="H23" s="18" t="inlineStr">
        <is>
          <t>DEDUCCION</t>
        </is>
      </c>
      <c r="I23" s="19" t="inlineStr">
        <is>
          <t>002500</t>
        </is>
      </c>
      <c r="J23" s="18" t="inlineStr">
        <is>
          <t xml:space="preserve">Normal              </t>
        </is>
      </c>
      <c r="K23" s="18" t="inlineStr">
        <is>
          <t>Prestamo</t>
        </is>
      </c>
    </row>
    <row r="24">
      <c r="A24" s="18" t="inlineStr">
        <is>
          <t>DEVENGO</t>
        </is>
      </c>
      <c r="B24" s="19" t="inlineStr">
        <is>
          <t>100002</t>
        </is>
      </c>
      <c r="C24" s="18" t="inlineStr">
        <is>
          <t xml:space="preserve">Normal              </t>
        </is>
      </c>
      <c r="D24" s="18" t="inlineStr">
        <is>
          <t>Auxilio medicina prepagada corporativa</t>
        </is>
      </c>
      <c r="E24" s="18" t="inlineStr">
        <is>
          <t>Opcional</t>
        </is>
      </c>
      <c r="F24" s="18" t="inlineStr">
        <is>
          <t>Obligatorio</t>
        </is>
      </c>
      <c r="H24" s="20" t="inlineStr">
        <is>
          <t>DEDUCCION</t>
        </is>
      </c>
      <c r="I24" s="21" t="inlineStr">
        <is>
          <t>002216</t>
        </is>
      </c>
      <c r="J24" s="20" t="inlineStr">
        <is>
          <t xml:space="preserve">Normal              </t>
        </is>
      </c>
      <c r="K24" s="20" t="inlineStr">
        <is>
          <t>UPC Adicional</t>
        </is>
      </c>
    </row>
    <row r="25">
      <c r="A25" s="18" t="inlineStr">
        <is>
          <t>DEVENGO</t>
        </is>
      </c>
      <c r="B25" s="19" t="inlineStr">
        <is>
          <t>100003</t>
        </is>
      </c>
      <c r="C25" s="18" t="inlineStr">
        <is>
          <t xml:space="preserve">Normal              </t>
        </is>
      </c>
      <c r="D25" s="18" t="inlineStr">
        <is>
          <t>Devengo Póliza de Vida Corporativa</t>
        </is>
      </c>
      <c r="E25" s="18" t="inlineStr">
        <is>
          <t>Opcional</t>
        </is>
      </c>
      <c r="F25" s="18" t="inlineStr">
        <is>
          <t>Obligatorio</t>
        </is>
      </c>
      <c r="H25" s="18" t="inlineStr">
        <is>
          <t>DEVENGO</t>
        </is>
      </c>
      <c r="I25" s="19" t="inlineStr">
        <is>
          <t>100000</t>
        </is>
      </c>
      <c r="J25" s="20" t="inlineStr">
        <is>
          <t xml:space="preserve">Normal              </t>
        </is>
      </c>
      <c r="K25" s="18" t="inlineStr">
        <is>
          <t>Bono No salarial servicios de salud</t>
        </is>
      </c>
    </row>
    <row r="26">
      <c r="A26" s="18" t="inlineStr">
        <is>
          <t>DEVENGO</t>
        </is>
      </c>
      <c r="B26" s="19" t="inlineStr">
        <is>
          <t>100004</t>
        </is>
      </c>
      <c r="C26" s="18" t="inlineStr">
        <is>
          <t xml:space="preserve">Normal              </t>
        </is>
      </c>
      <c r="D26" s="20" t="inlineStr">
        <is>
          <t>Bonificacion  Ocasional (N.S)</t>
        </is>
      </c>
      <c r="E26" s="18" t="inlineStr">
        <is>
          <t>Opcional</t>
        </is>
      </c>
      <c r="F26" s="18" t="inlineStr">
        <is>
          <t>Obligatorio</t>
        </is>
      </c>
      <c r="H26" s="18" t="inlineStr">
        <is>
          <t>DEVENGO</t>
        </is>
      </c>
      <c r="I26" s="21" t="inlineStr">
        <is>
          <t>100001</t>
        </is>
      </c>
      <c r="J26" s="20" t="inlineStr">
        <is>
          <t xml:space="preserve">Normal              </t>
        </is>
      </c>
      <c r="K26" s="20" t="inlineStr">
        <is>
          <t>Auxilio de Comunicaciones</t>
        </is>
      </c>
    </row>
    <row r="27">
      <c r="A27" s="18" t="inlineStr">
        <is>
          <t>DEVENGO</t>
        </is>
      </c>
      <c r="B27" s="19" t="inlineStr">
        <is>
          <t>100005</t>
        </is>
      </c>
      <c r="C27" s="18" t="inlineStr">
        <is>
          <t xml:space="preserve">Normal              </t>
        </is>
      </c>
      <c r="D27" s="18" t="inlineStr">
        <is>
          <t>Bonificacion Extralegal</t>
        </is>
      </c>
      <c r="E27" s="18" t="inlineStr">
        <is>
          <t>Opcional</t>
        </is>
      </c>
      <c r="F27" s="18" t="inlineStr">
        <is>
          <t>Obligatorio</t>
        </is>
      </c>
      <c r="H27" s="18" t="inlineStr">
        <is>
          <t>DEVENGO</t>
        </is>
      </c>
      <c r="I27" s="19" t="inlineStr">
        <is>
          <t>100006</t>
        </is>
      </c>
      <c r="J27" s="20" t="inlineStr">
        <is>
          <t xml:space="preserve">Normal              </t>
        </is>
      </c>
      <c r="K27" s="18" t="inlineStr">
        <is>
          <t>Prestamos a Empleados Condicionados</t>
        </is>
      </c>
    </row>
    <row r="28">
      <c r="A28" s="18" t="inlineStr">
        <is>
          <t>DEVENGO</t>
        </is>
      </c>
      <c r="B28" s="19" t="inlineStr">
        <is>
          <t>100008</t>
        </is>
      </c>
      <c r="C28" s="18" t="inlineStr">
        <is>
          <t xml:space="preserve">Normal              </t>
        </is>
      </c>
      <c r="D28" s="18" t="inlineStr">
        <is>
          <t>Ajustes extras y festivos</t>
        </is>
      </c>
      <c r="E28" s="18" t="inlineStr">
        <is>
          <t>Opcional</t>
        </is>
      </c>
      <c r="F28" s="18" t="inlineStr">
        <is>
          <t>Obligatorio</t>
        </is>
      </c>
      <c r="H28" s="20" t="inlineStr">
        <is>
          <t>DEVENGO</t>
        </is>
      </c>
      <c r="I28" s="21" t="inlineStr">
        <is>
          <t>100007</t>
        </is>
      </c>
      <c r="J28" s="20" t="inlineStr">
        <is>
          <t xml:space="preserve">Normal              </t>
        </is>
      </c>
      <c r="K28" s="20" t="inlineStr">
        <is>
          <t>Otras Bonificaciones Extralegales No Salariales</t>
        </is>
      </c>
    </row>
    <row r="29">
      <c r="A29" s="18" t="inlineStr">
        <is>
          <t>DEVENGO</t>
        </is>
      </c>
      <c r="B29" s="19" t="inlineStr">
        <is>
          <t>100009</t>
        </is>
      </c>
      <c r="C29" s="18" t="inlineStr">
        <is>
          <t xml:space="preserve">Normal              </t>
        </is>
      </c>
      <c r="D29" s="18" t="inlineStr">
        <is>
          <t>Auxilio medicina prepagada</t>
        </is>
      </c>
      <c r="E29" s="18" t="inlineStr">
        <is>
          <t>Opcional</t>
        </is>
      </c>
      <c r="F29" s="18" t="inlineStr">
        <is>
          <t>Obligatorio</t>
        </is>
      </c>
      <c r="H29" s="20" t="inlineStr">
        <is>
          <t>DEDUCCION</t>
        </is>
      </c>
      <c r="I29" s="19" t="inlineStr">
        <is>
          <t>200006</t>
        </is>
      </c>
      <c r="J29" s="20" t="inlineStr">
        <is>
          <t xml:space="preserve">Normal              </t>
        </is>
      </c>
      <c r="K29" s="18" t="inlineStr">
        <is>
          <t>AFC Scotiabank</t>
        </is>
      </c>
    </row>
    <row r="30">
      <c r="A30" s="18" t="inlineStr">
        <is>
          <t>DEVENGO</t>
        </is>
      </c>
      <c r="B30" s="19" t="inlineStr">
        <is>
          <t>200009</t>
        </is>
      </c>
      <c r="C30" s="18" t="inlineStr">
        <is>
          <t xml:space="preserve">Normal              </t>
        </is>
      </c>
      <c r="D30" s="18" t="inlineStr">
        <is>
          <t>Auxilio de Transporte (-)</t>
        </is>
      </c>
      <c r="E30" s="18" t="inlineStr">
        <is>
          <t>Opcional</t>
        </is>
      </c>
      <c r="F30" s="18" t="inlineStr">
        <is>
          <t>Obligatorio</t>
        </is>
      </c>
      <c r="H30" s="20" t="inlineStr">
        <is>
          <t>DEDUCCION</t>
        </is>
      </c>
      <c r="I30" s="19" t="inlineStr">
        <is>
          <t>200008</t>
        </is>
      </c>
      <c r="J30" s="20" t="inlineStr">
        <is>
          <t xml:space="preserve">Normal              </t>
        </is>
      </c>
      <c r="K30" s="18" t="inlineStr">
        <is>
          <t>AFC Itau</t>
        </is>
      </c>
    </row>
    <row r="31">
      <c r="A31" s="18" t="inlineStr">
        <is>
          <t>DEDUCCION</t>
        </is>
      </c>
      <c r="B31" s="19" t="inlineStr">
        <is>
          <t>200000</t>
        </is>
      </c>
      <c r="C31" s="18" t="inlineStr">
        <is>
          <t xml:space="preserve">Normal              </t>
        </is>
      </c>
      <c r="D31" s="18" t="inlineStr">
        <is>
          <t>Desc. Mayor Valor Pagado Nomina</t>
        </is>
      </c>
      <c r="E31" s="18" t="inlineStr">
        <is>
          <t>Opcional</t>
        </is>
      </c>
      <c r="F31" s="18" t="inlineStr">
        <is>
          <t>Obligatorio</t>
        </is>
      </c>
      <c r="H31" s="22" t="inlineStr">
        <is>
          <t>DEDUCCION</t>
        </is>
      </c>
      <c r="I31" s="23" t="inlineStr">
        <is>
          <t>200025</t>
        </is>
      </c>
      <c r="J31" s="22" t="inlineStr">
        <is>
          <t xml:space="preserve">Normal              </t>
        </is>
      </c>
      <c r="K31" s="22" t="inlineStr">
        <is>
          <t>Libranza Confa</t>
        </is>
      </c>
    </row>
    <row r="32">
      <c r="A32" s="18" t="inlineStr">
        <is>
          <t>DEDUCCION</t>
        </is>
      </c>
      <c r="B32" s="19" t="inlineStr">
        <is>
          <t>200001</t>
        </is>
      </c>
      <c r="C32" s="18" t="inlineStr">
        <is>
          <t xml:space="preserve">Normal              </t>
        </is>
      </c>
      <c r="D32" s="18" t="inlineStr">
        <is>
          <t>Descuento Medicina Prepagada Corporativa</t>
        </is>
      </c>
      <c r="E32" s="18" t="inlineStr">
        <is>
          <t>Opcional</t>
        </is>
      </c>
      <c r="F32" s="18" t="inlineStr">
        <is>
          <t>Obligatorio</t>
        </is>
      </c>
      <c r="H32" s="22" t="inlineStr">
        <is>
          <t>DEDUCCION</t>
        </is>
      </c>
      <c r="I32" s="23" t="inlineStr">
        <is>
          <t>200028</t>
        </is>
      </c>
      <c r="J32" s="22" t="inlineStr">
        <is>
          <t xml:space="preserve">Normal              </t>
        </is>
      </c>
      <c r="K32" s="22" t="inlineStr">
        <is>
          <t>Descuento Ahorro COOPEBENEFICENCIA</t>
        </is>
      </c>
    </row>
    <row r="33">
      <c r="A33" s="18" t="inlineStr">
        <is>
          <t>DEDUCCION</t>
        </is>
      </c>
      <c r="B33" s="19" t="inlineStr">
        <is>
          <t>200002</t>
        </is>
      </c>
      <c r="C33" s="18" t="inlineStr">
        <is>
          <t xml:space="preserve">Normal              </t>
        </is>
      </c>
      <c r="D33" s="18" t="inlineStr">
        <is>
          <t>Deducción Póliza de Vida Corporativa</t>
        </is>
      </c>
      <c r="E33" s="18" t="inlineStr">
        <is>
          <t>Opcional</t>
        </is>
      </c>
      <c r="F33" s="18" t="inlineStr">
        <is>
          <t>Obligatorio</t>
        </is>
      </c>
    </row>
    <row r="34">
      <c r="A34" s="18" t="inlineStr">
        <is>
          <t>DEDUCCION</t>
        </is>
      </c>
      <c r="B34" s="21" t="inlineStr">
        <is>
          <t>200003</t>
        </is>
      </c>
      <c r="C34" s="18" t="inlineStr">
        <is>
          <t xml:space="preserve">Normal              </t>
        </is>
      </c>
      <c r="D34" s="20" t="inlineStr">
        <is>
          <t>Deducción Préstamo Pólizas</t>
        </is>
      </c>
      <c r="E34" s="18" t="inlineStr">
        <is>
          <t>Opcional</t>
        </is>
      </c>
      <c r="F34" s="18" t="inlineStr">
        <is>
          <t>Obligatorio</t>
        </is>
      </c>
    </row>
    <row r="35">
      <c r="A35" s="18" t="inlineStr">
        <is>
          <t>DEDUCCION</t>
        </is>
      </c>
      <c r="B35" s="19" t="inlineStr">
        <is>
          <t>200004</t>
        </is>
      </c>
      <c r="C35" s="18" t="inlineStr">
        <is>
          <t xml:space="preserve">Normal              </t>
        </is>
      </c>
      <c r="D35" s="18" t="inlineStr">
        <is>
          <t>Descuento Autorizado</t>
        </is>
      </c>
      <c r="E35" s="18" t="inlineStr">
        <is>
          <t>Opcional</t>
        </is>
      </c>
      <c r="F35" s="18" t="inlineStr">
        <is>
          <t>Obligatorio</t>
        </is>
      </c>
    </row>
    <row r="36">
      <c r="A36" s="18" t="inlineStr">
        <is>
          <t>DEDUCCION</t>
        </is>
      </c>
      <c r="B36" s="19" t="inlineStr">
        <is>
          <t>200005</t>
        </is>
      </c>
      <c r="C36" s="18" t="inlineStr">
        <is>
          <t xml:space="preserve">Normal              </t>
        </is>
      </c>
      <c r="D36" s="18" t="inlineStr">
        <is>
          <t>Condonación Mensual Prestamo</t>
        </is>
      </c>
      <c r="E36" s="18" t="inlineStr">
        <is>
          <t>Opcional</t>
        </is>
      </c>
      <c r="F36" s="18" t="inlineStr">
        <is>
          <t>Obligatorio</t>
        </is>
      </c>
    </row>
    <row r="37">
      <c r="A37" s="18" t="inlineStr">
        <is>
          <t>DEDUCCION</t>
        </is>
      </c>
      <c r="B37" s="19" t="inlineStr">
        <is>
          <t>200007</t>
        </is>
      </c>
      <c r="C37" s="18" t="inlineStr">
        <is>
          <t xml:space="preserve">Normal              </t>
        </is>
      </c>
      <c r="D37" s="18" t="inlineStr">
        <is>
          <t>Descuento deuda Empleado</t>
        </is>
      </c>
      <c r="E37" s="18" t="inlineStr">
        <is>
          <t>Opcional</t>
        </is>
      </c>
      <c r="F37" s="18" t="inlineStr">
        <is>
          <t>Obligatorio</t>
        </is>
      </c>
    </row>
    <row r="38">
      <c r="A38" s="20" t="inlineStr">
        <is>
          <t>DEVENGO</t>
        </is>
      </c>
      <c r="B38" s="21" t="inlineStr">
        <is>
          <t>001065</t>
        </is>
      </c>
      <c r="C38" s="20" t="inlineStr">
        <is>
          <t xml:space="preserve">Normal              </t>
        </is>
      </c>
      <c r="D38" s="20" t="inlineStr">
        <is>
          <t>Recargo Dominical 0,75%</t>
        </is>
      </c>
      <c r="E38" s="20" t="inlineStr">
        <is>
          <t>Obligatorio</t>
        </is>
      </c>
      <c r="F38" s="20" t="inlineStr">
        <is>
          <t>No Aplica</t>
        </is>
      </c>
    </row>
    <row r="39">
      <c r="A39" s="18" t="inlineStr">
        <is>
          <t>DEDUCCION</t>
        </is>
      </c>
      <c r="B39" s="21" t="inlineStr">
        <is>
          <t>200026</t>
        </is>
      </c>
      <c r="C39" s="20" t="inlineStr">
        <is>
          <t xml:space="preserve">Normal              </t>
        </is>
      </c>
      <c r="D39" s="20" t="inlineStr">
        <is>
          <t>Descuento Gafas</t>
        </is>
      </c>
      <c r="E39" s="18" t="inlineStr">
        <is>
          <t>Opcional</t>
        </is>
      </c>
      <c r="F39" s="18" t="inlineStr">
        <is>
          <t>Obligatorio</t>
        </is>
      </c>
    </row>
    <row r="40">
      <c r="A40" s="18" t="inlineStr">
        <is>
          <t>DEDUCCION</t>
        </is>
      </c>
      <c r="B40" s="21" t="inlineStr">
        <is>
          <t>200025</t>
        </is>
      </c>
      <c r="C40" s="20" t="inlineStr">
        <is>
          <t xml:space="preserve">Normal              </t>
        </is>
      </c>
      <c r="D40" s="20" t="inlineStr">
        <is>
          <t>Libranza Confa</t>
        </is>
      </c>
      <c r="E40" s="18" t="inlineStr">
        <is>
          <t>Opcional</t>
        </is>
      </c>
      <c r="F40" s="18" t="inlineStr">
        <is>
          <t>Obligatorio</t>
        </is>
      </c>
    </row>
  </sheetData>
  <dataValidations count="1">
    <dataValidation sqref="E6:F40 O6:Q18" showDropDown="0" showInputMessage="1" showErrorMessage="1" allowBlank="1" type="list">
      <formula1>"Obligatorio,Opcional,No Aplica"</formula1>
      <formula2>0</formula2>
    </dataValidation>
  </dataValidations>
  <pageMargins left="0.7" right="0.7" top="0.75" bottom="0.75" header="0.511811023622047" footer="0.511811023622047"/>
  <pageSetup orientation="portrait" paperSize="9" horizontalDpi="300" verticalDpi="300"/>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2:H9"/>
  <sheetViews>
    <sheetView showGridLines="0" zoomScaleNormal="100" workbookViewId="0">
      <selection activeCell="B9" sqref="B9"/>
    </sheetView>
  </sheetViews>
  <sheetFormatPr baseColWidth="10" defaultColWidth="9.1796875" defaultRowHeight="11.5"/>
  <cols>
    <col width="1.54296875" customWidth="1" style="24" min="1" max="1"/>
    <col width="17.1796875" customWidth="1" style="24" min="2" max="2"/>
    <col width="41" customWidth="1" style="24" min="3" max="3"/>
    <col width="38" customWidth="1" style="24" min="4" max="4"/>
    <col width="17.7265625" customWidth="1" style="24" min="5" max="5"/>
    <col width="14.7265625" customWidth="1" style="24" min="6" max="6"/>
    <col width="14.54296875" customWidth="1" style="24" min="7" max="7"/>
    <col width="19.81640625" customWidth="1" style="24" min="8" max="8"/>
    <col width="9.1796875" customWidth="1" style="24" min="9" max="16384"/>
  </cols>
  <sheetData>
    <row r="2" ht="14.25" customHeight="1">
      <c r="B2" s="25" t="n"/>
      <c r="C2" s="101" t="inlineStr">
        <is>
          <t>FORMATO GENERAL DE REPORTE DE NOVEDADES</t>
        </is>
      </c>
    </row>
    <row r="3" ht="14.9" customHeight="1">
      <c r="B3" s="25" t="n"/>
      <c r="C3" s="102" t="inlineStr">
        <is>
          <t>COLLECTIVE MINING</t>
        </is>
      </c>
    </row>
    <row r="4">
      <c r="B4" s="25" t="n"/>
      <c r="C4" s="26" t="n"/>
      <c r="D4" s="27" t="n"/>
      <c r="E4" s="28" t="n"/>
      <c r="F4" s="26" t="n"/>
      <c r="G4" s="26" t="n"/>
    </row>
    <row r="5" ht="57" customHeight="1">
      <c r="B5" s="25" t="n"/>
      <c r="C5" s="26" t="n"/>
      <c r="D5" s="27" t="n"/>
      <c r="E5" s="28" t="n"/>
      <c r="F5" s="26" t="n"/>
      <c r="G5" s="26" t="n"/>
    </row>
    <row r="6" ht="12.75" customHeight="1">
      <c r="B6" s="25" t="n"/>
      <c r="C6" s="26" t="n"/>
      <c r="D6" s="29" t="inlineStr">
        <is>
          <t>FILTRO POR CONCEPTO</t>
        </is>
      </c>
      <c r="E6" s="29" t="inlineStr">
        <is>
          <t>REGISTROS</t>
        </is>
      </c>
      <c r="F6" s="29" t="inlineStr">
        <is>
          <t>CANTIDAD TOTAL</t>
        </is>
      </c>
      <c r="G6" s="29" t="inlineStr">
        <is>
          <t>VALOR TOTAL</t>
        </is>
      </c>
      <c r="H6" s="29" t="inlineStr">
        <is>
          <t>INSTRUCIONES</t>
        </is>
      </c>
    </row>
    <row r="7" ht="20.25" customHeight="1">
      <c r="B7" s="25" t="n"/>
      <c r="C7" s="30" t="n"/>
      <c r="D7" s="31" t="n"/>
      <c r="E7" s="32">
        <f>IF(D7="",COUNTA(ReporteNovedadesOC[[Novedad ]]),COUNTIF(ReporteNovedadesOC[[Novedad ]],D7))</f>
        <v/>
      </c>
      <c r="F7" s="32">
        <f>IF(D7="",SUM(ReporteNovedadesOC[cantidad]),SUMIFS(ReporteNovedadesOC[cantidad],ReporteNovedadesOC[[Novedad ]],D7))</f>
        <v/>
      </c>
      <c r="G7" s="32">
        <f>IF(D7="",SUM(ReporteNovedadesOC[valor]),SUMIFS(ReporteNovedadesOC[valor],ReporteNovedadesOC[[Novedad ]],D7))</f>
        <v/>
      </c>
      <c r="H7" s="32" t="n"/>
    </row>
    <row r="8" ht="27" customHeight="1">
      <c r="B8" s="33" t="inlineStr">
        <is>
          <t>Identificación</t>
        </is>
      </c>
      <c r="C8" s="34" t="inlineStr">
        <is>
          <t>Nombre</t>
        </is>
      </c>
      <c r="D8" s="35" t="inlineStr">
        <is>
          <t xml:space="preserve">Novedad </t>
        </is>
      </c>
      <c r="E8" s="36" t="inlineStr">
        <is>
          <t>Tipo de novedad</t>
        </is>
      </c>
      <c r="F8" s="35" t="inlineStr">
        <is>
          <t>cantidad</t>
        </is>
      </c>
      <c r="G8" s="37" t="inlineStr">
        <is>
          <t>valor</t>
        </is>
      </c>
      <c r="H8" s="33" t="inlineStr">
        <is>
          <t>observaciones</t>
        </is>
      </c>
    </row>
    <row r="9">
      <c r="B9" s="38" t="n"/>
      <c r="C9" s="39" t="n"/>
      <c r="D9" s="40" t="n"/>
      <c r="E9" s="39" t="n"/>
      <c r="F9" s="104" t="n"/>
      <c r="G9" s="105" t="n"/>
      <c r="H9" s="40" t="n"/>
    </row>
    <row r="236" ht="14.5" customHeight="1"/>
    <row r="327" ht="14.5" customHeight="1"/>
  </sheetData>
  <mergeCells count="2">
    <mergeCell ref="C2:H2"/>
    <mergeCell ref="C3:H3"/>
  </mergeCells>
  <conditionalFormatting sqref="C9:H9 C10 C11:H1047 G10:H10">
    <cfRule type="expression" priority="7" dxfId="2">
      <formula>IF(AND(#REF!="",#REF!=""),1,0)</formula>
    </cfRule>
  </conditionalFormatting>
  <conditionalFormatting sqref="D10:F10">
    <cfRule type="expression" priority="4" dxfId="2">
      <formula>IF(AND(#REF!="",#REF!=""),1,0)</formula>
    </cfRule>
  </conditionalFormatting>
  <conditionalFormatting sqref="F9:F1047">
    <cfRule type="expression" priority="2" dxfId="6">
      <formula>IF(AND(OR(ISTEXT(F9),F9="",F9&lt;1),VLOOKUP($D9,busquedaOcacionales,2,0)="Opcional"),1,0)</formula>
    </cfRule>
    <cfRule type="expression" priority="3" dxfId="0">
      <formula>IF(AND(OR(ISTEXT(F9),F9="",F9&lt;1),VLOOKUP($D9,busquedaOcacionales,2,0)="Obligatorio"),1,0)</formula>
    </cfRule>
  </conditionalFormatting>
  <conditionalFormatting sqref="G9:G1047">
    <cfRule type="expression" priority="5" dxfId="0">
      <formula>IF(AND(OR(ISTEXT(G9),G9="",G9&lt;1),VLOOKUP($D9,busquedaOcacionales,3,0)="Obligatorio"),1,0)</formula>
    </cfRule>
    <cfRule type="expression" priority="6" dxfId="6">
      <formula>IF(AND(OR(ISTEXT(G9),G9="",G9&lt;1),VLOOKUP($D9,busquedaOcacionales,3,0)="Opcional"),1,0)</formula>
    </cfRule>
  </conditionalFormatting>
  <dataValidations count="2">
    <dataValidation sqref="B9:B1047" showDropDown="0" showInputMessage="1" showErrorMessage="1" allowBlank="1" type="list">
      <formula1>Cedula</formula1>
      <formula2>0</formula2>
    </dataValidation>
    <dataValidation sqref="D9:D1047" showDropDown="0" showInputMessage="1" showErrorMessage="1" allowBlank="1" type="list">
      <formula1>IF($B9&lt;&gt;"",Ocacionales,"")</formula1>
      <formula2>0</formula2>
    </dataValidation>
  </dataValidations>
  <pageMargins left="0.7" right="0.7" top="0.75" bottom="0.75" header="0.511811023622047" footer="0.511811023622047"/>
  <pageSetup orientation="portrait" paperSize="9" horizontalDpi="300" verticalDpi="300"/>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2:M9"/>
  <sheetViews>
    <sheetView showGridLines="0" zoomScaleNormal="100" workbookViewId="0">
      <selection activeCell="A10" sqref="A10"/>
    </sheetView>
  </sheetViews>
  <sheetFormatPr baseColWidth="10" defaultColWidth="9.1796875" defaultRowHeight="11.5"/>
  <cols>
    <col width="1.54296875" customWidth="1" style="24" min="1" max="1"/>
    <col width="17.1796875" customWidth="1" style="24" min="2" max="2"/>
    <col width="41" customWidth="1" style="24" min="3" max="3"/>
    <col width="38" customWidth="1" style="24" min="4" max="4"/>
    <col hidden="1" width="17.7265625" customWidth="1" style="24" min="5" max="5"/>
    <col hidden="1" width="14.7265625" customWidth="1" style="24" min="6" max="6"/>
    <col width="14.54296875" customWidth="1" style="24" min="7" max="12"/>
    <col width="25.453125" customWidth="1" style="24" min="13" max="13"/>
    <col width="9.1796875" customWidth="1" style="24" min="14" max="16384"/>
  </cols>
  <sheetData>
    <row r="2" ht="14.25" customHeight="1">
      <c r="B2" s="25" t="n"/>
      <c r="C2" s="101" t="inlineStr">
        <is>
          <t>FORMATO GENERAL DE REPORTE DE NOVEDADES</t>
        </is>
      </c>
    </row>
    <row r="3" ht="14.9" customHeight="1">
      <c r="B3" s="25" t="n"/>
      <c r="C3" s="102" t="inlineStr">
        <is>
          <t>COLLECTIVE MINING</t>
        </is>
      </c>
    </row>
    <row r="4">
      <c r="B4" s="25" t="n"/>
      <c r="C4" s="26" t="n"/>
      <c r="D4" s="27" t="n"/>
      <c r="E4" s="28" t="n"/>
      <c r="F4" s="26" t="n"/>
      <c r="G4" s="26" t="n"/>
    </row>
    <row r="5" ht="31.5" customHeight="1">
      <c r="B5" s="25" t="n"/>
      <c r="C5" s="26" t="n"/>
      <c r="D5" s="27" t="n"/>
      <c r="E5" s="28" t="n"/>
      <c r="F5" s="26" t="n"/>
      <c r="G5" s="26" t="n"/>
    </row>
    <row r="6" ht="12.75" customHeight="1">
      <c r="B6" s="25" t="n"/>
      <c r="C6" s="26" t="n"/>
      <c r="D6" s="29" t="inlineStr">
        <is>
          <t>FILTRO POR CONCEPTO</t>
        </is>
      </c>
      <c r="E6" s="29" t="inlineStr">
        <is>
          <t>REGISTROS</t>
        </is>
      </c>
      <c r="F6" s="29" t="inlineStr">
        <is>
          <t>CANTIDAD TOTAL</t>
        </is>
      </c>
      <c r="G6" s="29" t="inlineStr">
        <is>
          <t>VALOR TOTAL</t>
        </is>
      </c>
      <c r="H6" s="29" t="inlineStr">
        <is>
          <t>INSTRUCIONES</t>
        </is>
      </c>
    </row>
    <row r="7" ht="20.25" customHeight="1">
      <c r="B7" s="25" t="n"/>
      <c r="C7" s="30" t="n"/>
      <c r="D7" s="31" t="n"/>
      <c r="E7" s="32">
        <f>IF(D7="",COUNTA(ReporteNovedadesFJ[[Novedad ]]),COUNTIF(ReporteNovedadesFJ[[Novedad ]],D7))</f>
        <v/>
      </c>
      <c r="F7" s="32">
        <f>IF(D7="",SUM(ReporteNovedadesFJ[cantidad]),SUMIFS(ReporteNovedadesFJ[cantidad],ReporteNovedadesFJ[[Novedad ]],D7))</f>
        <v/>
      </c>
      <c r="G7" s="32">
        <f>IF(D7="",SUM(ReporteNovedadesFJ[valor]),SUMIFS(ReporteNovedadesFJ[valor],ReporteNovedadesFJ[[Novedad ]],D7))</f>
        <v/>
      </c>
      <c r="H7" s="32" t="n"/>
    </row>
    <row r="8" ht="27" customHeight="1">
      <c r="B8" s="33" t="inlineStr">
        <is>
          <t>Identificación</t>
        </is>
      </c>
      <c r="C8" s="34" t="inlineStr">
        <is>
          <t>Nombre</t>
        </is>
      </c>
      <c r="D8" s="35" t="inlineStr">
        <is>
          <t xml:space="preserve">Novedad </t>
        </is>
      </c>
      <c r="E8" s="36" t="inlineStr">
        <is>
          <t>Tipo de novedad</t>
        </is>
      </c>
      <c r="F8" s="35" t="inlineStr">
        <is>
          <t>cantidad</t>
        </is>
      </c>
      <c r="G8" s="37" t="inlineStr">
        <is>
          <t>valor</t>
        </is>
      </c>
      <c r="H8" s="33" t="inlineStr">
        <is>
          <t>Fecha Inicial</t>
        </is>
      </c>
      <c r="I8" s="33" t="inlineStr">
        <is>
          <t>Fecha Final</t>
        </is>
      </c>
      <c r="J8" s="34" t="inlineStr">
        <is>
          <t>Aplicación</t>
        </is>
      </c>
      <c r="K8" s="35" t="inlineStr">
        <is>
          <t>Cuenta</t>
        </is>
      </c>
      <c r="L8" s="36" t="inlineStr">
        <is>
          <t>Cuotas</t>
        </is>
      </c>
      <c r="M8" s="35" t="inlineStr">
        <is>
          <t>observaciones</t>
        </is>
      </c>
    </row>
    <row r="9">
      <c r="B9" s="64" t="n"/>
      <c r="C9" s="39" t="n"/>
      <c r="D9" s="40" t="n"/>
      <c r="E9" s="39" t="n"/>
      <c r="F9" s="47" t="n"/>
      <c r="G9" s="47" t="n"/>
      <c r="H9" s="106" t="n"/>
      <c r="I9" s="106" t="n"/>
      <c r="J9" s="47" t="n"/>
      <c r="K9" s="47" t="n"/>
      <c r="L9" s="47" t="n"/>
      <c r="M9" s="40" t="n"/>
    </row>
  </sheetData>
  <sheetProtection selectLockedCells="0" selectUnlockedCells="0" algorithmName="SHA-512" sheet="1" objects="1" insertRows="1" insertHyperlinks="1" autoFilter="0" scenarios="1" formatColumns="0" deleteColumns="0" insertColumns="0" pivotTables="1" deleteRows="1" formatCells="0" saltValue="ZWf7uqsMy7X3wZSGpvOxSg==" formatRows="0" sort="0" spinCount="100000" hashValue="SIoxuLg6XZ8kqsghKgTlPXv13yRvcWOgAHCOzwbc42pGu8mTsDN3wtD6b23WnYOSG18Oh/areqEojzdIEGNpqA=="/>
  <mergeCells count="2">
    <mergeCell ref="C2:H2"/>
    <mergeCell ref="C3:H3"/>
  </mergeCells>
  <conditionalFormatting sqref="B10">
    <cfRule type="expression" priority="8" dxfId="2">
      <formula>IF(AND(#REF!="",#REF!=""),1,0)</formula>
    </cfRule>
  </conditionalFormatting>
  <conditionalFormatting sqref="B9:M9 B11:G11 B12:M191 C10:F10 I11:M11">
    <cfRule type="expression" priority="9" dxfId="2">
      <formula>IF(AND(#REF!="",#REF!=""),1,0)</formula>
    </cfRule>
  </conditionalFormatting>
  <conditionalFormatting sqref="B192:M9907">
    <cfRule type="expression" priority="10" dxfId="2">
      <formula>IF(AND($B191="",$D191=""),1,0)</formula>
    </cfRule>
  </conditionalFormatting>
  <conditionalFormatting sqref="G10:L10">
    <cfRule type="expression" priority="7" dxfId="2">
      <formula>IF(AND(#REF!="",#REF!=""),1,0)</formula>
    </cfRule>
  </conditionalFormatting>
  <conditionalFormatting sqref="H11">
    <cfRule type="expression" priority="2" dxfId="2">
      <formula>IF(AND(#REF!="",#REF!=""),1,0)</formula>
    </cfRule>
  </conditionalFormatting>
  <conditionalFormatting sqref="K9:K9907">
    <cfRule type="expression" priority="4" dxfId="0">
      <formula>IF(LEFT($B9,3)="AFC",1,0)</formula>
    </cfRule>
    <cfRule type="expression" priority="5" dxfId="0">
      <formula>IF(LEFT($D9,3)="AFC",1,0)</formula>
    </cfRule>
  </conditionalFormatting>
  <conditionalFormatting sqref="L9:L9907">
    <cfRule type="expression" priority="6" dxfId="6">
      <formula>IF($D9="Preatamo",1,0)</formula>
    </cfRule>
  </conditionalFormatting>
  <conditionalFormatting sqref="M10">
    <cfRule type="expression" priority="3" dxfId="2">
      <formula>IF(AND(#REF!="",#REF!=""),1,0)</formula>
    </cfRule>
  </conditionalFormatting>
  <dataValidations count="3">
    <dataValidation sqref="B9:B9907" showDropDown="0" showInputMessage="1" showErrorMessage="1" allowBlank="1" type="list">
      <formula1>Fijas!Cedula</formula1>
      <formula2>0</formula2>
    </dataValidation>
    <dataValidation sqref="D9:D9907" showDropDown="0" showInputMessage="1" showErrorMessage="1" allowBlank="1" type="list">
      <formula1>IF($B9&lt;&gt;"",fijas,"")</formula1>
      <formula2>0</formula2>
    </dataValidation>
    <dataValidation sqref="J9:J9907" showDropDown="0" showInputMessage="1" showErrorMessage="1" allowBlank="1" type="list">
      <formula1>"1ra Quincena,2da Quincena,todas"</formula1>
      <formula2>0</formula2>
    </dataValidation>
  </dataValidations>
  <pageMargins left="0.7" right="0.7" top="0.75" bottom="0.75" header="0.511811023622047" footer="0.511811023622047"/>
  <pageSetup orientation="portrait" paperSize="9" horizontalDpi="300" verticalDpi="300"/>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sheetPr>
  <dimension ref="A2:L10"/>
  <sheetViews>
    <sheetView showGridLines="0" tabSelected="1" zoomScaleNormal="100" workbookViewId="0">
      <selection activeCell="C11" sqref="C11"/>
    </sheetView>
  </sheetViews>
  <sheetFormatPr baseColWidth="10" defaultColWidth="9.1796875" defaultRowHeight="11.5"/>
  <cols>
    <col width="1.54296875" customWidth="1" style="24" min="1" max="1"/>
    <col width="17.1796875" customWidth="1" style="24" min="2" max="2"/>
    <col width="41" customWidth="1" style="24" min="3" max="3"/>
    <col width="38" customWidth="1" style="24" min="4" max="4"/>
    <col width="14.54296875" customWidth="1" style="24" min="5" max="9"/>
    <col width="20.7265625" customWidth="1" style="24" min="10" max="10"/>
    <col width="9.1796875" customWidth="1" style="24" min="11" max="16384"/>
  </cols>
  <sheetData>
    <row r="2" ht="14.25" customHeight="1">
      <c r="B2" s="25" t="n"/>
      <c r="C2" s="101" t="inlineStr">
        <is>
          <t>FORMATO GENERAL DE REPORTE DE NOVEDADES</t>
        </is>
      </c>
    </row>
    <row r="3" ht="14.9" customHeight="1">
      <c r="B3" s="25" t="n"/>
      <c r="C3" s="102" t="inlineStr">
        <is>
          <t>COLLECTIVE MINING</t>
        </is>
      </c>
    </row>
    <row r="4">
      <c r="B4" s="25" t="n"/>
      <c r="C4" s="26" t="n"/>
      <c r="D4" s="27" t="n"/>
      <c r="E4" s="28" t="n"/>
      <c r="F4" s="26" t="n"/>
      <c r="G4" s="26" t="n"/>
    </row>
    <row r="5" ht="31.5" customHeight="1">
      <c r="B5" s="25" t="n"/>
      <c r="C5" s="26" t="n"/>
      <c r="D5" s="27" t="n"/>
      <c r="E5" s="28" t="n"/>
      <c r="F5" s="26" t="n"/>
      <c r="G5" s="26" t="n"/>
    </row>
    <row r="6" ht="31.5" customHeight="1">
      <c r="B6" s="25" t="n"/>
      <c r="C6" s="26" t="n"/>
      <c r="D6" s="27" t="n"/>
      <c r="E6" s="28" t="n"/>
      <c r="F6" s="26" t="n"/>
      <c r="G6" s="26" t="n"/>
    </row>
    <row r="7" ht="12.75" customHeight="1">
      <c r="B7" s="25" t="n"/>
      <c r="C7" s="26" t="n"/>
      <c r="D7" s="29" t="inlineStr">
        <is>
          <t>FILTRO</t>
        </is>
      </c>
      <c r="E7" s="29" t="inlineStr">
        <is>
          <t>TOTAL REGISTROS</t>
        </is>
      </c>
      <c r="F7" s="29" t="inlineStr">
        <is>
          <t>INSTRUCIONES</t>
        </is>
      </c>
    </row>
    <row r="8" ht="20.25" customHeight="1">
      <c r="B8" s="25" t="n"/>
      <c r="C8" s="30" t="n"/>
      <c r="D8" s="31" t="n"/>
      <c r="E8" s="32">
        <f>IF(D8="",COUNTA(ReporteNovedadesAU[Ausentismo]),COUNTIF(ReporteNovedadesAU[Ausentismo],D8))</f>
        <v/>
      </c>
      <c r="F8" s="32" t="n"/>
    </row>
    <row r="9" ht="27" customHeight="1">
      <c r="B9" s="33" t="inlineStr">
        <is>
          <t>Identificación</t>
        </is>
      </c>
      <c r="C9" s="34" t="inlineStr">
        <is>
          <t>Nombre</t>
        </is>
      </c>
      <c r="D9" s="35" t="inlineStr">
        <is>
          <t>Ausentismo</t>
        </is>
      </c>
      <c r="E9" s="36" t="inlineStr">
        <is>
          <t>Fecha Inicial</t>
        </is>
      </c>
      <c r="F9" s="35" t="inlineStr">
        <is>
          <t>Fecha Final</t>
        </is>
      </c>
      <c r="G9" s="37" t="inlineStr">
        <is>
          <t>Dias totales</t>
        </is>
      </c>
      <c r="H9" s="33" t="inlineStr">
        <is>
          <t>diagnostico</t>
        </is>
      </c>
      <c r="I9" s="33" t="inlineStr">
        <is>
          <t>Prorroga</t>
        </is>
      </c>
      <c r="J9" s="33" t="inlineStr">
        <is>
          <t>observaciones</t>
        </is>
      </c>
    </row>
    <row r="10" ht="14.5" customHeight="1">
      <c r="B10" s="70" t="n"/>
      <c r="C10" s="71" t="n"/>
      <c r="D10" s="72" t="n"/>
      <c r="E10" s="107" t="n"/>
      <c r="F10" s="107" t="n"/>
      <c r="G10" s="74" t="n"/>
      <c r="H10" s="66" t="n"/>
      <c r="I10" s="72" t="n"/>
      <c r="J10" s="72" t="n"/>
      <c r="L10" s="68" t="n"/>
    </row>
  </sheetData>
  <sheetProtection selectLockedCells="0" selectUnlockedCells="0" algorithmName="SHA-512" sheet="1" objects="1" insertRows="1" insertHyperlinks="1" autoFilter="0" scenarios="1" formatColumns="0" deleteColumns="0" insertColumns="0" pivotTables="1" deleteRows="1" formatCells="0" saltValue="0p8PfKDF2Siz9MnMTKsWSw==" formatRows="0" sort="0" spinCount="100000" hashValue="OCZw94E+Qcs4AGOMewOPnxrKxSQMPVlUIj7A19qcXVJmRXVSxD6RNBGHuVxHlY1jHtijstc7fv1UNLjzdS8SgQ=="/>
  <mergeCells count="2">
    <mergeCell ref="C2:H2"/>
    <mergeCell ref="C3:H3"/>
  </mergeCells>
  <conditionalFormatting sqref="B11:B23">
    <cfRule type="expression" priority="9" dxfId="2">
      <formula>IF(AND(#REF!="",#REF!=""),1,0)</formula>
    </cfRule>
  </conditionalFormatting>
  <conditionalFormatting sqref="B10:J10 B24:J119 B120:C122 B123:J164 C11:C23 D121 D122:J122 E120:J121 J11:J23">
    <cfRule type="expression" priority="18" dxfId="2">
      <formula>IF(AND(#REF!="",#REF!=""),1,0)</formula>
    </cfRule>
  </conditionalFormatting>
  <conditionalFormatting sqref="B165:J9949">
    <cfRule type="expression" priority="24" dxfId="2">
      <formula>IF(AND($B164="",$D164=""),1,0)</formula>
    </cfRule>
  </conditionalFormatting>
  <conditionalFormatting sqref="D11:I23">
    <cfRule type="expression" priority="4" dxfId="2">
      <formula>IF(AND(#REF!="",#REF!=""),1,0)</formula>
    </cfRule>
  </conditionalFormatting>
  <conditionalFormatting sqref="E10:E119">
    <cfRule type="expression" priority="8" dxfId="0">
      <formula>IF(AND($D10&lt;&gt;"",$E10=""),1,0)</formula>
    </cfRule>
  </conditionalFormatting>
  <conditionalFormatting sqref="E120">
    <cfRule type="expression" priority="25" dxfId="0">
      <formula>IF(AND(#REF!&lt;&gt;"",$E120=""),1,0)</formula>
    </cfRule>
  </conditionalFormatting>
  <conditionalFormatting sqref="E121:E9949">
    <cfRule type="expression" priority="23" dxfId="0">
      <formula>IF(AND($D121&lt;&gt;"",$E121=""),1,0)</formula>
    </cfRule>
  </conditionalFormatting>
  <conditionalFormatting sqref="F10:F119">
    <cfRule type="expression" priority="3" dxfId="0">
      <formula>IF(AND($D10&lt;&gt;"",$F10=""),1,0)</formula>
    </cfRule>
  </conditionalFormatting>
  <conditionalFormatting sqref="F11:F23">
    <cfRule type="expression" priority="2" dxfId="0">
      <formula>IF(AND($D11&lt;&gt;"",$E11=""),1,0)</formula>
    </cfRule>
  </conditionalFormatting>
  <conditionalFormatting sqref="F52:F59">
    <cfRule type="expression" priority="17" dxfId="0">
      <formula>IF(AND($D52&lt;&gt;"",$E52=""),1,0)</formula>
    </cfRule>
  </conditionalFormatting>
  <conditionalFormatting sqref="F64:F72">
    <cfRule type="expression" priority="16" dxfId="0">
      <formula>IF(AND($D64&lt;&gt;"",$E64=""),1,0)</formula>
    </cfRule>
  </conditionalFormatting>
  <conditionalFormatting sqref="F74:F79">
    <cfRule type="expression" priority="15" dxfId="0">
      <formula>IF(AND($D74&lt;&gt;"",$E74=""),1,0)</formula>
    </cfRule>
  </conditionalFormatting>
  <conditionalFormatting sqref="F81">
    <cfRule type="expression" priority="14" dxfId="0">
      <formula>IF(AND($D81&lt;&gt;"",$E81=""),1,0)</formula>
    </cfRule>
  </conditionalFormatting>
  <conditionalFormatting sqref="F83:F84">
    <cfRule type="expression" priority="13" dxfId="0">
      <formula>IF(AND($D83&lt;&gt;"",$E83=""),1,0)</formula>
    </cfRule>
  </conditionalFormatting>
  <conditionalFormatting sqref="F97">
    <cfRule type="expression" priority="12" dxfId="0">
      <formula>IF(AND($D97&lt;&gt;"",$E97=""),1,0)</formula>
    </cfRule>
  </conditionalFormatting>
  <conditionalFormatting sqref="F103">
    <cfRule type="expression" priority="11" dxfId="0">
      <formula>IF(AND($D103&lt;&gt;"",$E103=""),1,0)</formula>
    </cfRule>
  </conditionalFormatting>
  <conditionalFormatting sqref="F120">
    <cfRule type="expression" priority="26" dxfId="0">
      <formula>IF(AND(#REF!&lt;&gt;"",$F120=""),1,0)</formula>
    </cfRule>
  </conditionalFormatting>
  <conditionalFormatting sqref="F121:F122">
    <cfRule type="expression" priority="10" dxfId="0">
      <formula>IF(AND($D121&lt;&gt;"",$E121=""),1,0)</formula>
    </cfRule>
  </conditionalFormatting>
  <conditionalFormatting sqref="F121:F9949">
    <cfRule type="expression" priority="22" dxfId="0">
      <formula>IF(AND($D121&lt;&gt;"",$F121=""),1,0)</formula>
    </cfRule>
  </conditionalFormatting>
  <conditionalFormatting sqref="G10:G119">
    <cfRule type="expression" priority="7" dxfId="0">
      <formula>IF(AND($D10&lt;&gt;"",$G10=""),1,0)</formula>
    </cfRule>
  </conditionalFormatting>
  <conditionalFormatting sqref="G120">
    <cfRule type="expression" priority="27" dxfId="0">
      <formula>IF(AND(#REF!&lt;&gt;"",$G120=""),1,0)</formula>
    </cfRule>
  </conditionalFormatting>
  <conditionalFormatting sqref="G121:G9949">
    <cfRule type="expression" priority="21" dxfId="0">
      <formula>IF(AND($D121&lt;&gt;"",$G121=""),1,0)</formula>
    </cfRule>
  </conditionalFormatting>
  <conditionalFormatting sqref="H10:H119">
    <cfRule type="expression" priority="6" dxfId="6">
      <formula>IF(AND(LEFT($D10,3)="Inc",$H10=""),1,0)</formula>
    </cfRule>
  </conditionalFormatting>
  <conditionalFormatting sqref="H120">
    <cfRule type="expression" priority="28" dxfId="6">
      <formula>IF(AND(LEFT(#REF!,3)="Inc",$H120=""),1,0)</formula>
    </cfRule>
  </conditionalFormatting>
  <conditionalFormatting sqref="H121:H9949">
    <cfRule type="expression" priority="20" dxfId="6">
      <formula>IF(AND(LEFT($D121,3)="Inc",$H121=""),1,0)</formula>
    </cfRule>
  </conditionalFormatting>
  <conditionalFormatting sqref="I10:I119">
    <cfRule type="expression" priority="5" dxfId="0">
      <formula>IF(AND(LEFT($D10,3)="Inc",$I10=""),1,0)</formula>
    </cfRule>
  </conditionalFormatting>
  <conditionalFormatting sqref="I120">
    <cfRule type="expression" priority="29" dxfId="0">
      <formula>IF(AND(LEFT(#REF!,3)="Inc",$I120=""),1,0)</formula>
    </cfRule>
  </conditionalFormatting>
  <conditionalFormatting sqref="I121:I9949">
    <cfRule type="expression" priority="19" dxfId="0">
      <formula>IF(AND(LEFT($D121,3)="Inc",$I121=""),1,0)</formula>
    </cfRule>
  </conditionalFormatting>
  <dataValidations count="3">
    <dataValidation sqref="B10:B9949" showDropDown="0" showInputMessage="1" showErrorMessage="1" allowBlank="1" type="list">
      <formula1>Cedula</formula1>
      <formula2>0</formula2>
    </dataValidation>
    <dataValidation sqref="I10:I9949" showDropDown="0" showInputMessage="1" showErrorMessage="1" allowBlank="1" type="list">
      <formula1>"Si,No"</formula1>
      <formula2>0</formula2>
    </dataValidation>
    <dataValidation sqref="D10:D119 D121:D9949" showDropDown="0" showInputMessage="1" showErrorMessage="1" allowBlank="1" type="list">
      <formula1>IF($B10&lt;&gt;"",Incapacidades,"")</formula1>
      <formula2>0</formula2>
    </dataValidation>
  </dataValidations>
  <pageMargins left="0.7" right="0.7" top="0.75" bottom="0.75" header="0.511811023622047" footer="0.511811023622047"/>
  <pageSetup orientation="portrait" paperSize="9" horizontalDpi="300" verticalDpi="300"/>
  <drawing xmlns:r="http://schemas.openxmlformats.org/officeDocument/2006/relationships" r:id="rId1"/>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sheetPr>
  <dimension ref="A2:BX157"/>
  <sheetViews>
    <sheetView showGridLines="0" zoomScaleNormal="100" workbookViewId="0">
      <pane ySplit="2" topLeftCell="A11" activePane="bottomLeft" state="frozen"/>
      <selection pane="bottomLeft" activeCell="L108" sqref="L108"/>
    </sheetView>
  </sheetViews>
  <sheetFormatPr baseColWidth="10" defaultColWidth="10.90625" defaultRowHeight="14.5"/>
  <cols>
    <col width="8" customWidth="1" style="75" min="1" max="1"/>
    <col width="8.81640625" customWidth="1" style="75" min="2" max="2"/>
    <col width="7.81640625" customWidth="1" style="75" min="3" max="3"/>
    <col width="10" customWidth="1" style="75" min="4" max="4"/>
    <col width="15.81640625" customWidth="1" style="75" min="5" max="5"/>
    <col width="5.81640625" customWidth="1" style="75" min="6" max="6"/>
    <col width="9.26953125" customWidth="1" style="75" min="7" max="7"/>
    <col width="6.81640625" customWidth="1" style="75" min="8" max="8"/>
    <col width="8.7265625" customWidth="1" style="75" min="9" max="9"/>
    <col width="13.7265625" customWidth="1" style="75" min="10" max="10"/>
    <col width="5.26953125" customWidth="1" style="75" min="11" max="11"/>
    <col width="9.7265625" customWidth="1" style="75" min="12" max="12"/>
    <col width="7.81640625" customWidth="1" style="75" min="13" max="13"/>
    <col width="8.1796875" customWidth="1" style="75" min="14" max="14"/>
    <col width="8.26953125" customWidth="1" style="75" min="15" max="15"/>
    <col width="13.7265625" customWidth="1" style="75" min="16" max="17"/>
    <col width="8.7265625" customWidth="1" style="75" min="18" max="18"/>
    <col width="6.26953125" customWidth="1" style="75" min="19" max="19"/>
    <col width="10" customWidth="1" style="75" min="20" max="20"/>
    <col width="6.81640625" customWidth="1" style="75" min="21" max="21"/>
    <col width="11.54296875" customWidth="1" style="75" min="22" max="22"/>
    <col width="9.453125" customWidth="1" style="75" min="23" max="23"/>
    <col width="10.54296875" customWidth="1" style="75" min="24" max="24"/>
    <col width="8.1796875" customWidth="1" style="75" min="25" max="25"/>
    <col width="9.26953125" customWidth="1" style="75" min="26" max="26"/>
    <col width="13.7265625" customWidth="1" style="75" min="27" max="27"/>
    <col width="8.7265625" customWidth="1" style="75" min="28" max="28"/>
    <col width="10.7265625" customWidth="1" style="75" min="29" max="29"/>
    <col width="7.7265625" customWidth="1" style="75" min="30" max="30"/>
    <col width="11" customWidth="1" style="75" min="31" max="31"/>
    <col width="8.54296875" customWidth="1" style="75" min="32" max="32"/>
    <col width="9.453125" customWidth="1" style="75" min="33" max="33"/>
    <col width="13.7265625" customWidth="1" style="75" min="34" max="36"/>
    <col width="6" customWidth="1" style="75" min="37" max="37"/>
    <col width="8.26953125" customWidth="1" style="75" min="38" max="38"/>
    <col width="9.26953125" customWidth="1" style="75" min="39" max="39"/>
    <col width="8.54296875" customWidth="1" style="75" min="40" max="40"/>
    <col width="8.26953125" customWidth="1" style="75" min="41" max="41"/>
    <col width="11.26953125" customWidth="1" style="75" min="42" max="42"/>
    <col width="7.453125" customWidth="1" style="75" min="43" max="43"/>
    <col width="8.26953125" customWidth="1" style="75" min="44" max="44"/>
    <col width="7.453125" customWidth="1" style="75" min="45" max="45"/>
    <col width="13.7265625" customWidth="1" style="75" min="46" max="46"/>
    <col width="6.26953125" customWidth="1" style="75" min="47" max="47"/>
    <col width="13.7265625" customWidth="1" style="75" min="48" max="50"/>
    <col width="7.453125" customWidth="1" style="75" min="51" max="51"/>
    <col width="8.54296875" customWidth="1" style="75" min="52" max="52"/>
    <col width="14.26953125" customWidth="1" style="75" min="53" max="53"/>
    <col width="15.453125" customWidth="1" style="75" min="54" max="54"/>
    <col width="14.81640625" customWidth="1" style="75" min="55" max="56"/>
    <col width="13.7265625" customWidth="1" style="75" min="57" max="57"/>
    <col width="15" customWidth="1" style="75" min="58" max="58"/>
    <col width="6.7265625" customWidth="1" style="75" min="59" max="59"/>
    <col width="9.453125" customWidth="1" style="75" min="60" max="60"/>
    <col width="13.7265625" customWidth="1" style="75" min="61" max="74"/>
    <col width="9.81640625" customWidth="1" style="75" min="75" max="75"/>
    <col width="13.7265625" customWidth="1" style="75" min="76" max="76"/>
    <col width="9" customWidth="1" style="75" min="77" max="77"/>
    <col width="10.90625" customWidth="1" style="75" min="78" max="16384"/>
  </cols>
  <sheetData>
    <row r="1" ht="25.5" customHeight="1"/>
    <row r="2" ht="27" customHeight="1">
      <c r="A2" s="76" t="inlineStr">
        <is>
          <t>Codigo</t>
        </is>
      </c>
      <c r="B2" s="76" t="inlineStr">
        <is>
          <t>Codigo Alterno</t>
        </is>
      </c>
      <c r="C2" s="76" t="inlineStr">
        <is>
          <t>Cedula</t>
        </is>
      </c>
      <c r="D2" s="76" t="inlineStr">
        <is>
          <t>Tipo
Documento</t>
        </is>
      </c>
      <c r="E2" s="76" t="inlineStr">
        <is>
          <t>Nombre</t>
        </is>
      </c>
      <c r="F2" s="76" t="inlineStr">
        <is>
          <t>Sexo</t>
        </is>
      </c>
      <c r="G2" s="76" t="inlineStr">
        <is>
          <t>grupo 
sanguineo</t>
        </is>
      </c>
      <c r="H2" s="76" t="inlineStr">
        <is>
          <t>factor
rhh</t>
        </is>
      </c>
      <c r="I2" s="76" t="inlineStr">
        <is>
          <t>Estado Civil</t>
        </is>
      </c>
      <c r="J2" s="76" t="inlineStr">
        <is>
          <t>ciudad expedicion</t>
        </is>
      </c>
      <c r="K2" s="76" t="inlineStr">
        <is>
          <t>Hijos</t>
        </is>
      </c>
      <c r="L2" s="76" t="inlineStr">
        <is>
          <t>Fecha Nacimiento</t>
        </is>
      </c>
      <c r="M2" s="76" t="inlineStr">
        <is>
          <t>Ciudad</t>
        </is>
      </c>
      <c r="N2" s="76" t="inlineStr">
        <is>
          <t>Telefono1</t>
        </is>
      </c>
      <c r="O2" s="76" t="inlineStr">
        <is>
          <t>Telefono2</t>
        </is>
      </c>
      <c r="P2" s="76" t="inlineStr">
        <is>
          <t>Direccion</t>
        </is>
      </c>
      <c r="Q2" s="76" t="inlineStr">
        <is>
          <t>Correo</t>
        </is>
      </c>
      <c r="R2" s="76" t="inlineStr">
        <is>
          <t>Cargo</t>
        </is>
      </c>
      <c r="S2" s="76" t="inlineStr">
        <is>
          <t>%</t>
        </is>
      </c>
      <c r="T2" s="76" t="inlineStr">
        <is>
          <t>sueldo  antes flex</t>
        </is>
      </c>
      <c r="U2" s="76" t="inlineStr">
        <is>
          <t>Valor Hora</t>
        </is>
      </c>
      <c r="V2" s="76" t="inlineStr">
        <is>
          <t>Tipo Cuenta</t>
        </is>
      </c>
      <c r="W2" s="76" t="inlineStr">
        <is>
          <t>Banco</t>
        </is>
      </c>
      <c r="X2" s="76" t="inlineStr">
        <is>
          <t>Numero Cta</t>
        </is>
      </c>
      <c r="Y2" s="76" t="inlineStr">
        <is>
          <t>Sucursal</t>
        </is>
      </c>
      <c r="Z2" s="76" t="inlineStr">
        <is>
          <t>Centro Costo</t>
        </is>
      </c>
      <c r="AA2" s="76" t="inlineStr">
        <is>
          <t>Centro costos</t>
        </is>
      </c>
      <c r="AB2" s="76" t="inlineStr">
        <is>
          <t>Codigo
Compañia</t>
        </is>
      </c>
      <c r="AC2" s="76" t="inlineStr">
        <is>
          <t>Cuenta de Gasto</t>
        </is>
      </c>
      <c r="AD2" s="76" t="inlineStr">
        <is>
          <t>Regimen</t>
        </is>
      </c>
      <c r="AE2" s="76" t="inlineStr">
        <is>
          <t>Trabaja Sabado</t>
        </is>
      </c>
      <c r="AF2" s="76" t="inlineStr">
        <is>
          <t>Clase Salario</t>
        </is>
      </c>
      <c r="AG2" s="76" t="inlineStr">
        <is>
          <t>Pensionado</t>
        </is>
      </c>
      <c r="AH2" s="76" t="inlineStr">
        <is>
          <t>Aplica ley 1393</t>
        </is>
      </c>
      <c r="AI2" s="76" t="inlineStr">
        <is>
          <t>Modo Liquidacion</t>
        </is>
      </c>
      <c r="AJ2" s="76" t="inlineStr">
        <is>
          <t>Tipo Liquidacion</t>
        </is>
      </c>
      <c r="AK2" s="76" t="inlineStr">
        <is>
          <t>Extranjero</t>
        </is>
      </c>
      <c r="AL2" s="76" t="inlineStr">
        <is>
          <t>Reside Extrnjero</t>
        </is>
      </c>
      <c r="AM2" s="76" t="inlineStr">
        <is>
          <t>Fecha Ingreso</t>
        </is>
      </c>
      <c r="AN2" s="76" t="inlineStr">
        <is>
          <t>Fecha Retiro</t>
        </is>
      </c>
      <c r="AO2" s="76" t="inlineStr">
        <is>
          <t>Fecha Final</t>
        </is>
      </c>
      <c r="AP2" s="76" t="inlineStr">
        <is>
          <t>Causa Retiro</t>
        </is>
      </c>
      <c r="AQ2" s="76" t="inlineStr">
        <is>
          <t>Contrato</t>
        </is>
      </c>
      <c r="AR2" s="76" t="inlineStr">
        <is>
          <t>Tipo Contrato</t>
        </is>
      </c>
      <c r="AS2" s="76" t="inlineStr">
        <is>
          <t>Metodo</t>
        </is>
      </c>
      <c r="AT2" s="76" t="inlineStr">
        <is>
          <t>Trabaja Sabado</t>
        </is>
      </c>
      <c r="AU2" s="76" t="inlineStr">
        <is>
          <t>% Rete</t>
        </is>
      </c>
      <c r="AV2" s="76" t="inlineStr">
        <is>
          <t>Valor Deduccion 1
VIVIENDA</t>
        </is>
      </c>
      <c r="AW2" s="76" t="inlineStr">
        <is>
          <t>Valor Deduccion2
SALUD(OTROS)</t>
        </is>
      </c>
      <c r="AX2" s="76" t="inlineStr">
        <is>
          <t xml:space="preserve">Valor Deduccion3
DEPENDIENTES
</t>
        </is>
      </c>
      <c r="AY2" s="76" t="inlineStr">
        <is>
          <t>Declara
 Renta</t>
        </is>
      </c>
      <c r="AZ2" s="76" t="inlineStr">
        <is>
          <t>Promedio Salud</t>
        </is>
      </c>
      <c r="BA2" s="76" t="inlineStr">
        <is>
          <t>EPS</t>
        </is>
      </c>
      <c r="BB2" s="76" t="inlineStr">
        <is>
          <t>AFP</t>
        </is>
      </c>
      <c r="BC2" s="76" t="inlineStr">
        <is>
          <t>CAJA</t>
        </is>
      </c>
      <c r="BD2" s="76" t="inlineStr">
        <is>
          <t>ARP</t>
        </is>
      </c>
      <c r="BE2" s="76" t="inlineStr">
        <is>
          <t>CESANTIAS</t>
        </is>
      </c>
      <c r="BF2" s="76" t="inlineStr">
        <is>
          <t>Riesgo</t>
        </is>
      </c>
      <c r="BG2" s="76" t="inlineStr">
        <is>
          <t>horas mes</t>
        </is>
      </c>
      <c r="BH2" s="76" t="inlineStr">
        <is>
          <t>Dias Vacaciones</t>
        </is>
      </c>
      <c r="BI2" s="76" t="inlineStr">
        <is>
          <t>CLASIFICADOR 1</t>
        </is>
      </c>
      <c r="BJ2" s="76" t="inlineStr">
        <is>
          <t>Clasificador1Nom</t>
        </is>
      </c>
      <c r="BK2" s="76" t="inlineStr">
        <is>
          <t>Rating 2014</t>
        </is>
      </c>
      <c r="BL2" s="76" t="inlineStr">
        <is>
          <t>Rating 2014</t>
        </is>
      </c>
      <c r="BM2" s="76" t="inlineStr">
        <is>
          <t>FTE</t>
        </is>
      </c>
      <c r="BN2" s="76" t="inlineStr">
        <is>
          <t>FTE</t>
        </is>
      </c>
      <c r="BO2" s="76" t="inlineStr">
        <is>
          <t>Sub Área</t>
        </is>
      </c>
      <c r="BP2" s="76" t="inlineStr">
        <is>
          <t>Sub Área</t>
        </is>
      </c>
      <c r="BQ2" s="76" t="inlineStr">
        <is>
          <t>Nivel Cargo</t>
        </is>
      </c>
      <c r="BR2" s="76" t="inlineStr">
        <is>
          <t>Nivel Cargo</t>
        </is>
      </c>
      <c r="BS2" s="76" t="inlineStr">
        <is>
          <t>Driver Variable</t>
        </is>
      </c>
      <c r="BT2" s="76" t="inlineStr">
        <is>
          <t>Driver Variable</t>
        </is>
      </c>
      <c r="BU2" s="76" t="inlineStr">
        <is>
          <t>Clasificador7</t>
        </is>
      </c>
      <c r="BV2" s="76" t="inlineStr">
        <is>
          <t>Clasificador7Nom</t>
        </is>
      </c>
      <c r="BW2" s="76" t="inlineStr">
        <is>
          <t>Pago X Dias</t>
        </is>
      </c>
      <c r="BX2" s="76" t="inlineStr">
        <is>
          <t>Relación Sindical</t>
        </is>
      </c>
    </row>
    <row r="3" ht="22.5" customHeight="1">
      <c r="A3" s="49" t="n">
        <v>1007808313</v>
      </c>
      <c r="B3" s="49" t="inlineStr">
        <is>
          <t>085</t>
        </is>
      </c>
      <c r="C3" s="49" t="n">
        <v>1007808313</v>
      </c>
      <c r="D3" s="49" t="inlineStr">
        <is>
          <t>CC</t>
        </is>
      </c>
      <c r="E3" s="49" t="inlineStr">
        <is>
          <t>HERNANDEZ LARGO JUAN FELIPE</t>
        </is>
      </c>
      <c r="F3" s="49" t="inlineStr">
        <is>
          <t>M</t>
        </is>
      </c>
      <c r="G3" s="49" t="inlineStr">
        <is>
          <t xml:space="preserve">A  </t>
        </is>
      </c>
      <c r="H3" s="49" t="inlineStr">
        <is>
          <t>+</t>
        </is>
      </c>
      <c r="I3" s="49" t="inlineStr">
        <is>
          <t>SOLTERO</t>
        </is>
      </c>
      <c r="J3" s="49" t="inlineStr">
        <is>
          <t xml:space="preserve">SUPIA                         </t>
        </is>
      </c>
      <c r="K3" s="49" t="n">
        <v>0</v>
      </c>
      <c r="L3" s="49" t="inlineStr">
        <is>
          <t>29/11/2000</t>
        </is>
      </c>
      <c r="M3" s="49" t="inlineStr">
        <is>
          <t xml:space="preserve">SUPIA                         </t>
        </is>
      </c>
      <c r="N3" s="49" t="inlineStr">
        <is>
          <t xml:space="preserve">0                   </t>
        </is>
      </c>
      <c r="O3" s="49" t="inlineStr">
        <is>
          <t>3217684392</t>
        </is>
      </c>
      <c r="P3" s="49" t="inlineStr">
        <is>
          <t>VDA SAN PABLO</t>
        </is>
      </c>
      <c r="Q3" s="49" t="inlineStr">
        <is>
          <t>hernandezjuanfelipe964@gmail.com</t>
        </is>
      </c>
      <c r="R3" s="49" t="inlineStr">
        <is>
          <t>AUXILIAR DE EXPLORACIÓN</t>
        </is>
      </c>
      <c r="S3" s="108" t="n">
        <v>91.66666600000001</v>
      </c>
      <c r="T3" s="108" t="n">
        <v>0</v>
      </c>
      <c r="U3" s="108" t="n">
        <v>220</v>
      </c>
      <c r="V3" s="49" t="inlineStr">
        <is>
          <t>CONSIG. CTA AHORROS</t>
        </is>
      </c>
      <c r="W3" s="49" t="inlineStr">
        <is>
          <t xml:space="preserve">BANCO DAVIVIENDA S.A.         </t>
        </is>
      </c>
      <c r="X3" s="49" t="inlineStr">
        <is>
          <t xml:space="preserve">0550488439719268         </t>
        </is>
      </c>
      <c r="Y3" s="49" t="inlineStr">
        <is>
          <t xml:space="preserve">NO APLICA                     </t>
        </is>
      </c>
      <c r="Z3" s="49" t="inlineStr">
        <is>
          <t>CM0100-EXP</t>
        </is>
      </c>
      <c r="AA3" s="49" t="inlineStr">
        <is>
          <t>CM0100-EXP</t>
        </is>
      </c>
      <c r="AB3" s="49" t="inlineStr">
        <is>
          <t xml:space="preserve">01 </t>
        </is>
      </c>
      <c r="AC3" s="49" t="inlineStr">
        <is>
          <t xml:space="preserve">                </t>
        </is>
      </c>
      <c r="AD3" s="49" t="inlineStr">
        <is>
          <t>LEY 50</t>
        </is>
      </c>
      <c r="AE3" s="49" t="inlineStr">
        <is>
          <t>No</t>
        </is>
      </c>
      <c r="AF3" s="49" t="inlineStr">
        <is>
          <t>Normal</t>
        </is>
      </c>
      <c r="AG3" s="49" t="n"/>
      <c r="AH3" s="49" t="inlineStr">
        <is>
          <t>Si</t>
        </is>
      </c>
      <c r="AI3" s="49" t="inlineStr">
        <is>
          <t xml:space="preserve">Normal              </t>
        </is>
      </c>
      <c r="AJ3" s="49" t="inlineStr">
        <is>
          <t xml:space="preserve">Quincenal                     </t>
        </is>
      </c>
      <c r="AK3" s="49" t="inlineStr">
        <is>
          <t>NO</t>
        </is>
      </c>
      <c r="AL3" s="49" t="inlineStr">
        <is>
          <t>NO</t>
        </is>
      </c>
      <c r="AM3" s="49" t="inlineStr">
        <is>
          <t>08/08/2024</t>
        </is>
      </c>
      <c r="AN3" s="49" t="n"/>
      <c r="AO3" s="49" t="n"/>
      <c r="AP3" s="49" t="inlineStr">
        <is>
          <t xml:space="preserve">NO APLICA                </t>
        </is>
      </c>
      <c r="AQ3" s="49" t="n">
        <v>144</v>
      </c>
      <c r="AR3" s="49" t="inlineStr">
        <is>
          <t>01</t>
        </is>
      </c>
      <c r="AS3" s="49" t="n">
        <v>1</v>
      </c>
      <c r="AT3" s="49" t="inlineStr">
        <is>
          <t>No</t>
        </is>
      </c>
      <c r="AU3" s="49" t="n">
        <v>0</v>
      </c>
      <c r="AV3" s="108" t="n">
        <v>0</v>
      </c>
      <c r="AW3" s="108" t="n">
        <v>0</v>
      </c>
      <c r="AX3" s="108" t="n">
        <v>0</v>
      </c>
      <c r="AY3" s="49" t="inlineStr">
        <is>
          <t>No</t>
        </is>
      </c>
      <c r="AZ3" s="49" t="n">
        <v>72915</v>
      </c>
      <c r="BA3" s="49" t="inlineStr">
        <is>
          <t>NUEVA E.P.S</t>
        </is>
      </c>
      <c r="BB3" s="49" t="inlineStr">
        <is>
          <t>PORVENIR A.F.P.</t>
        </is>
      </c>
      <c r="BC3" s="49" t="inlineStr">
        <is>
          <t>CCF DE CALDAS</t>
        </is>
      </c>
      <c r="BD3" s="49" t="inlineStr">
        <is>
          <t>RIESGOS PROFESIONALES COLMENA S.A.</t>
        </is>
      </c>
      <c r="BE3" s="49" t="inlineStr">
        <is>
          <t>PORVENIR CESANTIAS</t>
        </is>
      </c>
      <c r="BF3" s="49" t="n">
        <v>6.96</v>
      </c>
      <c r="BG3" s="49" t="n">
        <v>220</v>
      </c>
      <c r="BH3" s="49" t="n">
        <v>15</v>
      </c>
      <c r="BI3" s="49" t="inlineStr">
        <is>
          <t xml:space="preserve">0           </t>
        </is>
      </c>
      <c r="BJ3" s="49" t="inlineStr">
        <is>
          <t xml:space="preserve">NO APLICA                               </t>
        </is>
      </c>
      <c r="BK3" s="49" t="inlineStr">
        <is>
          <t>02</t>
        </is>
      </c>
      <c r="BL3" s="49" t="inlineStr">
        <is>
          <t xml:space="preserve">Caldas                                  </t>
        </is>
      </c>
      <c r="BM3" s="49" t="inlineStr">
        <is>
          <t>02</t>
        </is>
      </c>
      <c r="BN3" s="49" t="inlineStr">
        <is>
          <t xml:space="preserve">Supia                                   </t>
        </is>
      </c>
      <c r="BO3" s="49" t="inlineStr">
        <is>
          <t>0</t>
        </is>
      </c>
      <c r="BP3" s="49" t="inlineStr">
        <is>
          <t>NO APLICA</t>
        </is>
      </c>
      <c r="BQ3" s="49" t="inlineStr">
        <is>
          <t>0</t>
        </is>
      </c>
      <c r="BR3" s="49" t="inlineStr">
        <is>
          <t>NO APLICA</t>
        </is>
      </c>
      <c r="BS3" s="49" t="inlineStr">
        <is>
          <t>0</t>
        </is>
      </c>
      <c r="BT3" s="49" t="inlineStr">
        <is>
          <t>NO APLICA</t>
        </is>
      </c>
      <c r="BU3" s="49" t="inlineStr">
        <is>
          <t>0</t>
        </is>
      </c>
      <c r="BV3" s="49" t="inlineStr">
        <is>
          <t>NO APLICA</t>
        </is>
      </c>
      <c r="BW3" s="49" t="inlineStr">
        <is>
          <t>No</t>
        </is>
      </c>
      <c r="BX3" s="49" t="inlineStr">
        <is>
          <t xml:space="preserve">No Aplica                     </t>
        </is>
      </c>
    </row>
    <row r="4" ht="22.5" customHeight="1">
      <c r="A4" s="49" t="n">
        <v>1017222157</v>
      </c>
      <c r="B4" s="49" t="inlineStr">
        <is>
          <t>060</t>
        </is>
      </c>
      <c r="C4" s="49" t="n">
        <v>1017222157</v>
      </c>
      <c r="D4" s="49" t="inlineStr">
        <is>
          <t>CC</t>
        </is>
      </c>
      <c r="E4" s="49" t="inlineStr">
        <is>
          <t>LONDONO VALLE SEBASTIAN</t>
        </is>
      </c>
      <c r="F4" s="49" t="inlineStr">
        <is>
          <t>M</t>
        </is>
      </c>
      <c r="G4" s="49" t="inlineStr">
        <is>
          <t xml:space="preserve">O  </t>
        </is>
      </c>
      <c r="H4" s="49" t="inlineStr">
        <is>
          <t>+</t>
        </is>
      </c>
      <c r="I4" s="49" t="inlineStr">
        <is>
          <t>SOLTERO</t>
        </is>
      </c>
      <c r="J4" s="49" t="inlineStr">
        <is>
          <t xml:space="preserve">MEDELLÍN                      </t>
        </is>
      </c>
      <c r="K4" s="49" t="n">
        <v>0</v>
      </c>
      <c r="L4" s="49" t="inlineStr">
        <is>
          <t>22/07/1994</t>
        </is>
      </c>
      <c r="M4" s="49" t="inlineStr">
        <is>
          <t xml:space="preserve">SUPIA                         </t>
        </is>
      </c>
      <c r="N4" s="49" t="inlineStr">
        <is>
          <t xml:space="preserve">NA                  </t>
        </is>
      </c>
      <c r="O4" s="49" t="inlineStr">
        <is>
          <t>3002027612</t>
        </is>
      </c>
      <c r="P4" s="49" t="inlineStr">
        <is>
          <t>CALLE 65B N°80A91 APT 416</t>
        </is>
      </c>
      <c r="Q4" s="49" t="inlineStr">
        <is>
          <t>selondonova@unal.edu.co</t>
        </is>
      </c>
      <c r="R4" s="49" t="inlineStr">
        <is>
          <t>COORDINADOR DE GESTIÓN SOCIAL JUNIOR</t>
        </is>
      </c>
      <c r="S4" s="108" t="n">
        <v>91.66666600000001</v>
      </c>
      <c r="T4" s="108" t="n">
        <v>0</v>
      </c>
      <c r="U4" s="108" t="n">
        <v>220</v>
      </c>
      <c r="V4" s="49" t="inlineStr">
        <is>
          <t>CONSIG. CTA AHORROS</t>
        </is>
      </c>
      <c r="W4" s="49" t="inlineStr">
        <is>
          <t xml:space="preserve">BANCOLOMBIA S.A.              </t>
        </is>
      </c>
      <c r="X4" s="49" t="inlineStr">
        <is>
          <t xml:space="preserve">61177744246              </t>
        </is>
      </c>
      <c r="Y4" s="49" t="inlineStr">
        <is>
          <t xml:space="preserve">NO APLICA                     </t>
        </is>
      </c>
      <c r="Z4" s="49" t="inlineStr">
        <is>
          <t>CM0201-ESG</t>
        </is>
      </c>
      <c r="AA4" s="49" t="inlineStr">
        <is>
          <t>CM0201-ESGSOC</t>
        </is>
      </c>
      <c r="AB4" s="49" t="inlineStr">
        <is>
          <t xml:space="preserve">01 </t>
        </is>
      </c>
      <c r="AC4" s="49" t="inlineStr">
        <is>
          <t xml:space="preserve">                </t>
        </is>
      </c>
      <c r="AD4" s="49" t="inlineStr">
        <is>
          <t>LEY 50</t>
        </is>
      </c>
      <c r="AE4" s="49" t="inlineStr">
        <is>
          <t>No</t>
        </is>
      </c>
      <c r="AF4" s="49" t="inlineStr">
        <is>
          <t>Normal</t>
        </is>
      </c>
      <c r="AG4" s="49" t="n"/>
      <c r="AH4" s="49" t="inlineStr">
        <is>
          <t>Si</t>
        </is>
      </c>
      <c r="AI4" s="49" t="inlineStr">
        <is>
          <t xml:space="preserve">Normal              </t>
        </is>
      </c>
      <c r="AJ4" s="49" t="inlineStr">
        <is>
          <t xml:space="preserve">Quincenal                     </t>
        </is>
      </c>
      <c r="AK4" s="49" t="inlineStr">
        <is>
          <t>NO</t>
        </is>
      </c>
      <c r="AL4" s="49" t="inlineStr">
        <is>
          <t>NO</t>
        </is>
      </c>
      <c r="AM4" s="49" t="inlineStr">
        <is>
          <t>01/08/2023</t>
        </is>
      </c>
      <c r="AN4" s="49" t="n"/>
      <c r="AO4" s="49" t="n"/>
      <c r="AP4" s="49" t="inlineStr">
        <is>
          <t xml:space="preserve">NO APLICA                </t>
        </is>
      </c>
      <c r="AQ4" s="49" t="n">
        <v>105</v>
      </c>
      <c r="AR4" s="49" t="inlineStr">
        <is>
          <t>01</t>
        </is>
      </c>
      <c r="AS4" s="49" t="n">
        <v>1</v>
      </c>
      <c r="AT4" s="49" t="inlineStr">
        <is>
          <t>No</t>
        </is>
      </c>
      <c r="AU4" s="49" t="n">
        <v>0</v>
      </c>
      <c r="AV4" s="108" t="n">
        <v>0</v>
      </c>
      <c r="AW4" s="108" t="n">
        <v>0</v>
      </c>
      <c r="AX4" s="108" t="n">
        <v>0</v>
      </c>
      <c r="AY4" s="49" t="inlineStr">
        <is>
          <t>No</t>
        </is>
      </c>
      <c r="AZ4" s="49" t="n">
        <v>194662</v>
      </c>
      <c r="BA4" s="49" t="inlineStr">
        <is>
          <t>SURA E.P.S.</t>
        </is>
      </c>
      <c r="BB4" s="49" t="inlineStr">
        <is>
          <t>PROTECCION A.F.P</t>
        </is>
      </c>
      <c r="BC4" s="49" t="inlineStr">
        <is>
          <t>CCF DE CALDAS</t>
        </is>
      </c>
      <c r="BD4" s="49" t="inlineStr">
        <is>
          <t>RIESGOS PROFESIONALES COLMENA S.A.</t>
        </is>
      </c>
      <c r="BE4" s="49" t="inlineStr">
        <is>
          <t>PROTECCION CESANTIAS</t>
        </is>
      </c>
      <c r="BF4" s="49" t="n">
        <v>6.96</v>
      </c>
      <c r="BG4" s="49" t="n">
        <v>220</v>
      </c>
      <c r="BH4" s="49" t="n">
        <v>15</v>
      </c>
      <c r="BI4" s="49" t="inlineStr">
        <is>
          <t xml:space="preserve">0           </t>
        </is>
      </c>
      <c r="BJ4" s="49" t="inlineStr">
        <is>
          <t xml:space="preserve">NO APLICA                               </t>
        </is>
      </c>
      <c r="BK4" s="49" t="inlineStr">
        <is>
          <t>02</t>
        </is>
      </c>
      <c r="BL4" s="49" t="inlineStr">
        <is>
          <t xml:space="preserve">Caldas                                  </t>
        </is>
      </c>
      <c r="BM4" s="49" t="inlineStr">
        <is>
          <t>02</t>
        </is>
      </c>
      <c r="BN4" s="49" t="inlineStr">
        <is>
          <t xml:space="preserve">Supia                                   </t>
        </is>
      </c>
      <c r="BO4" s="49" t="inlineStr">
        <is>
          <t>0</t>
        </is>
      </c>
      <c r="BP4" s="49" t="inlineStr">
        <is>
          <t>NO APLICA</t>
        </is>
      </c>
      <c r="BQ4" s="49" t="inlineStr">
        <is>
          <t>0</t>
        </is>
      </c>
      <c r="BR4" s="49" t="inlineStr">
        <is>
          <t>NO APLICA</t>
        </is>
      </c>
      <c r="BS4" s="49" t="inlineStr">
        <is>
          <t>0</t>
        </is>
      </c>
      <c r="BT4" s="49" t="inlineStr">
        <is>
          <t>NO APLICA</t>
        </is>
      </c>
      <c r="BU4" s="49" t="inlineStr">
        <is>
          <t>0</t>
        </is>
      </c>
      <c r="BV4" s="49" t="inlineStr">
        <is>
          <t>NO APLICA</t>
        </is>
      </c>
      <c r="BW4" s="49" t="inlineStr">
        <is>
          <t>No</t>
        </is>
      </c>
      <c r="BX4" s="49" t="inlineStr">
        <is>
          <t xml:space="preserve">No Aplica                     </t>
        </is>
      </c>
    </row>
    <row r="5" ht="22.5" customHeight="1">
      <c r="A5" s="49" t="n">
        <v>10276733</v>
      </c>
      <c r="B5" s="49" t="inlineStr">
        <is>
          <t>022</t>
        </is>
      </c>
      <c r="C5" s="49" t="n">
        <v>10276733</v>
      </c>
      <c r="D5" s="49" t="inlineStr">
        <is>
          <t>CC</t>
        </is>
      </c>
      <c r="E5" s="49" t="inlineStr">
        <is>
          <t>GRANADA VALENCIA JAIME</t>
        </is>
      </c>
      <c r="F5" s="49" t="inlineStr">
        <is>
          <t>M</t>
        </is>
      </c>
      <c r="G5" s="49" t="inlineStr">
        <is>
          <t xml:space="preserve">O  </t>
        </is>
      </c>
      <c r="H5" s="49" t="inlineStr">
        <is>
          <t>+</t>
        </is>
      </c>
      <c r="I5" s="49" t="inlineStr">
        <is>
          <t>CASADO</t>
        </is>
      </c>
      <c r="J5" s="49" t="inlineStr">
        <is>
          <t xml:space="preserve">MANIZALES                     </t>
        </is>
      </c>
      <c r="K5" s="49" t="n">
        <v>0</v>
      </c>
      <c r="L5" s="49" t="inlineStr">
        <is>
          <t>06/05/1967</t>
        </is>
      </c>
      <c r="M5" s="49" t="inlineStr">
        <is>
          <t xml:space="preserve">SUPIA                         </t>
        </is>
      </c>
      <c r="N5" s="49" t="inlineStr">
        <is>
          <t xml:space="preserve">3168656866          </t>
        </is>
      </c>
      <c r="O5" s="49" t="inlineStr">
        <is>
          <t>3168656866</t>
        </is>
      </c>
      <c r="P5" s="49" t="inlineStr">
        <is>
          <t xml:space="preserve">CALLE 54 # 11 B - 14                    </t>
        </is>
      </c>
      <c r="Q5" s="49" t="inlineStr">
        <is>
          <t>j.granada@collectivemining.com</t>
        </is>
      </c>
      <c r="R5" s="49" t="inlineStr">
        <is>
          <t>JEFE DE PROTECCION</t>
        </is>
      </c>
      <c r="S5" s="108" t="n">
        <v>91.66666600000001</v>
      </c>
      <c r="T5" s="108" t="n">
        <v>0</v>
      </c>
      <c r="U5" s="108" t="n">
        <v>220</v>
      </c>
      <c r="V5" s="49" t="inlineStr">
        <is>
          <t>CONSIG. CTA AHORROS</t>
        </is>
      </c>
      <c r="W5" s="49" t="inlineStr">
        <is>
          <t xml:space="preserve">BANCO DAVIVIENDA S.A.         </t>
        </is>
      </c>
      <c r="X5" s="49" t="inlineStr">
        <is>
          <t xml:space="preserve">0550488436661653         </t>
        </is>
      </c>
      <c r="Y5" s="49" t="inlineStr">
        <is>
          <t xml:space="preserve">NO APLICA                     </t>
        </is>
      </c>
      <c r="Z5" s="49" t="inlineStr">
        <is>
          <t>CM0400-PRO</t>
        </is>
      </c>
      <c r="AA5" s="49" t="inlineStr">
        <is>
          <t>CM0400-PRO</t>
        </is>
      </c>
      <c r="AB5" s="49" t="inlineStr">
        <is>
          <t xml:space="preserve">01 </t>
        </is>
      </c>
      <c r="AC5" s="49" t="inlineStr">
        <is>
          <t xml:space="preserve">0               </t>
        </is>
      </c>
      <c r="AD5" s="49" t="inlineStr">
        <is>
          <t>LEY 50</t>
        </is>
      </c>
      <c r="AE5" s="49" t="inlineStr">
        <is>
          <t>No</t>
        </is>
      </c>
      <c r="AF5" s="49" t="inlineStr">
        <is>
          <t>Normal</t>
        </is>
      </c>
      <c r="AG5" s="49" t="n"/>
      <c r="AH5" s="49" t="inlineStr">
        <is>
          <t>Si</t>
        </is>
      </c>
      <c r="AI5" s="49" t="inlineStr">
        <is>
          <t xml:space="preserve">Normal              </t>
        </is>
      </c>
      <c r="AJ5" s="49" t="inlineStr">
        <is>
          <t xml:space="preserve">Quincenal                     </t>
        </is>
      </c>
      <c r="AK5" s="49" t="inlineStr">
        <is>
          <t>NO</t>
        </is>
      </c>
      <c r="AL5" s="49" t="inlineStr">
        <is>
          <t>NO</t>
        </is>
      </c>
      <c r="AM5" s="49" t="inlineStr">
        <is>
          <t>04/01/2022</t>
        </is>
      </c>
      <c r="AN5" s="49" t="n"/>
      <c r="AO5" s="49" t="n"/>
      <c r="AP5" s="49" t="inlineStr">
        <is>
          <t xml:space="preserve">NO APLICA                </t>
        </is>
      </c>
      <c r="AQ5" s="49" t="n">
        <v>13</v>
      </c>
      <c r="AR5" s="49" t="inlineStr">
        <is>
          <t>01</t>
        </is>
      </c>
      <c r="AS5" s="49" t="n">
        <v>1</v>
      </c>
      <c r="AT5" s="49" t="inlineStr">
        <is>
          <t>No</t>
        </is>
      </c>
      <c r="AU5" s="49" t="n">
        <v>0</v>
      </c>
      <c r="AV5" s="108" t="n">
        <v>0</v>
      </c>
      <c r="AW5" s="108" t="n">
        <v>0</v>
      </c>
      <c r="AX5" s="108" t="n">
        <v>0</v>
      </c>
      <c r="AY5" s="49" t="inlineStr">
        <is>
          <t>No</t>
        </is>
      </c>
      <c r="AZ5" s="49" t="n">
        <v>351655</v>
      </c>
      <c r="BA5" s="49" t="inlineStr">
        <is>
          <t>FOSYGA</t>
        </is>
      </c>
      <c r="BB5" s="49" t="inlineStr">
        <is>
          <t>PROTECCION A.F.P</t>
        </is>
      </c>
      <c r="BC5" s="49" t="inlineStr">
        <is>
          <t>CCF DE CALDAS</t>
        </is>
      </c>
      <c r="BD5" s="49" t="inlineStr">
        <is>
          <t>RIESGOS PROFESIONALES COLMENA S.A.</t>
        </is>
      </c>
      <c r="BE5" s="49" t="inlineStr">
        <is>
          <t>PORVENIR CESANTIAS</t>
        </is>
      </c>
      <c r="BF5" s="49" t="n">
        <v>6.96</v>
      </c>
      <c r="BG5" s="49" t="n">
        <v>220</v>
      </c>
      <c r="BH5" s="49" t="n">
        <v>15</v>
      </c>
      <c r="BI5" s="49" t="inlineStr">
        <is>
          <t xml:space="preserve">0           </t>
        </is>
      </c>
      <c r="BJ5" s="49" t="inlineStr">
        <is>
          <t xml:space="preserve">NO APLICA                               </t>
        </is>
      </c>
      <c r="BK5" s="49" t="inlineStr">
        <is>
          <t>02</t>
        </is>
      </c>
      <c r="BL5" s="49" t="inlineStr">
        <is>
          <t xml:space="preserve">Caldas                                  </t>
        </is>
      </c>
      <c r="BM5" s="49" t="inlineStr">
        <is>
          <t>02</t>
        </is>
      </c>
      <c r="BN5" s="49" t="inlineStr">
        <is>
          <t xml:space="preserve">Supia                                   </t>
        </is>
      </c>
      <c r="BO5" s="49" t="inlineStr">
        <is>
          <t>0</t>
        </is>
      </c>
      <c r="BP5" s="49" t="inlineStr">
        <is>
          <t>NO APLICA</t>
        </is>
      </c>
      <c r="BQ5" s="49" t="inlineStr">
        <is>
          <t>0</t>
        </is>
      </c>
      <c r="BR5" s="49" t="inlineStr">
        <is>
          <t>NO APLICA</t>
        </is>
      </c>
      <c r="BS5" s="49" t="inlineStr">
        <is>
          <t>0</t>
        </is>
      </c>
      <c r="BT5" s="49" t="inlineStr">
        <is>
          <t>NO APLICA</t>
        </is>
      </c>
      <c r="BU5" s="49" t="inlineStr">
        <is>
          <t>0</t>
        </is>
      </c>
      <c r="BV5" s="49" t="inlineStr">
        <is>
          <t>NO APLICA</t>
        </is>
      </c>
      <c r="BW5" s="49" t="inlineStr">
        <is>
          <t>No</t>
        </is>
      </c>
      <c r="BX5" s="49" t="inlineStr">
        <is>
          <t xml:space="preserve">No Aplica                     </t>
        </is>
      </c>
    </row>
    <row r="6" ht="22.5" customHeight="1">
      <c r="A6" s="49" t="n">
        <v>1027885783</v>
      </c>
      <c r="B6" s="49" t="inlineStr">
        <is>
          <t>097</t>
        </is>
      </c>
      <c r="C6" s="49" t="n">
        <v>1027885783</v>
      </c>
      <c r="D6" s="49" t="inlineStr">
        <is>
          <t>CC</t>
        </is>
      </c>
      <c r="E6" s="49" t="inlineStr">
        <is>
          <t>RENDON HOYOS VICTOR ALEJANDRO</t>
        </is>
      </c>
      <c r="F6" s="49" t="inlineStr">
        <is>
          <t>M</t>
        </is>
      </c>
      <c r="G6" s="49" t="inlineStr">
        <is>
          <t xml:space="preserve">A  </t>
        </is>
      </c>
      <c r="H6" s="49" t="inlineStr">
        <is>
          <t>+</t>
        </is>
      </c>
      <c r="I6" s="49" t="inlineStr">
        <is>
          <t>DESCONOCIDO</t>
        </is>
      </c>
      <c r="J6" s="49" t="inlineStr">
        <is>
          <t xml:space="preserve">ANDES                         </t>
        </is>
      </c>
      <c r="K6" s="49" t="n">
        <v>0</v>
      </c>
      <c r="L6" s="49" t="inlineStr">
        <is>
          <t>20/06/1992</t>
        </is>
      </c>
      <c r="M6" s="49" t="inlineStr">
        <is>
          <t xml:space="preserve">SUPIA                         </t>
        </is>
      </c>
      <c r="N6" s="49" t="inlineStr">
        <is>
          <t xml:space="preserve">0                   </t>
        </is>
      </c>
      <c r="O6" s="49" t="inlineStr">
        <is>
          <t>3103571329</t>
        </is>
      </c>
      <c r="P6" s="49" t="inlineStr">
        <is>
          <t>Vereda San Bartolo Jardin Antioquia</t>
        </is>
      </c>
      <c r="Q6" s="49" t="inlineStr">
        <is>
          <t>alejandrorendonhoyos@hotmail.com</t>
        </is>
      </c>
      <c r="R6" s="49" t="inlineStr">
        <is>
          <t>COORDINADOR GESTION SOCIAL</t>
        </is>
      </c>
      <c r="S6" s="108" t="n">
        <v>91.66666600000001</v>
      </c>
      <c r="T6" s="108" t="n">
        <v>0</v>
      </c>
      <c r="U6" s="108" t="n">
        <v>220</v>
      </c>
      <c r="V6" s="49" t="inlineStr">
        <is>
          <t>CONSIG. CTA AHORROS</t>
        </is>
      </c>
      <c r="W6" s="49" t="inlineStr">
        <is>
          <t xml:space="preserve">BANCO DAVIVIENDA S.A.         </t>
        </is>
      </c>
      <c r="X6" s="49" t="inlineStr">
        <is>
          <t xml:space="preserve">0550488458058416         </t>
        </is>
      </c>
      <c r="Y6" s="49" t="inlineStr">
        <is>
          <t xml:space="preserve">NO APLICA                     </t>
        </is>
      </c>
      <c r="Z6" s="49" t="inlineStr">
        <is>
          <t>CM0201-ESG</t>
        </is>
      </c>
      <c r="AA6" s="49" t="inlineStr">
        <is>
          <t>CM0201-ESGSOC</t>
        </is>
      </c>
      <c r="AB6" s="49" t="inlineStr">
        <is>
          <t xml:space="preserve">01 </t>
        </is>
      </c>
      <c r="AC6" s="49" t="inlineStr">
        <is>
          <t xml:space="preserve">                </t>
        </is>
      </c>
      <c r="AD6" s="49" t="inlineStr">
        <is>
          <t>LEY 50</t>
        </is>
      </c>
      <c r="AE6" s="49" t="inlineStr">
        <is>
          <t>No</t>
        </is>
      </c>
      <c r="AF6" s="49" t="inlineStr">
        <is>
          <t>Normal</t>
        </is>
      </c>
      <c r="AG6" s="49" t="n"/>
      <c r="AH6" s="49" t="inlineStr">
        <is>
          <t>Si</t>
        </is>
      </c>
      <c r="AI6" s="49" t="inlineStr">
        <is>
          <t xml:space="preserve">Normal              </t>
        </is>
      </c>
      <c r="AJ6" s="49" t="inlineStr">
        <is>
          <t xml:space="preserve">Quincenal                     </t>
        </is>
      </c>
      <c r="AK6" s="49" t="inlineStr">
        <is>
          <t>NO</t>
        </is>
      </c>
      <c r="AL6" s="49" t="inlineStr">
        <is>
          <t>NO</t>
        </is>
      </c>
      <c r="AM6" s="49" t="inlineStr">
        <is>
          <t>02/12/2024</t>
        </is>
      </c>
      <c r="AN6" s="49" t="n"/>
      <c r="AO6" s="49" t="n"/>
      <c r="AP6" s="49" t="inlineStr">
        <is>
          <t xml:space="preserve">NO APLICA                </t>
        </is>
      </c>
      <c r="AQ6" s="49" t="n">
        <v>156</v>
      </c>
      <c r="AR6" s="49" t="inlineStr">
        <is>
          <t>01</t>
        </is>
      </c>
      <c r="AS6" s="49" t="n">
        <v>1</v>
      </c>
      <c r="AT6" s="49" t="inlineStr">
        <is>
          <t>No</t>
        </is>
      </c>
      <c r="AU6" s="49" t="n">
        <v>0</v>
      </c>
      <c r="AV6" s="108" t="n">
        <v>0</v>
      </c>
      <c r="AW6" s="108" t="n">
        <v>0</v>
      </c>
      <c r="AX6" s="108" t="n">
        <v>0</v>
      </c>
      <c r="AY6" s="49" t="inlineStr">
        <is>
          <t>No</t>
        </is>
      </c>
      <c r="AZ6" s="49" t="n">
        <v>246390</v>
      </c>
      <c r="BA6" s="49" t="inlineStr">
        <is>
          <t>SURA E.P.S.</t>
        </is>
      </c>
      <c r="BB6" s="49" t="inlineStr">
        <is>
          <t>PORVENIR A.F.P.</t>
        </is>
      </c>
      <c r="BC6" s="49" t="inlineStr">
        <is>
          <t>CCF COMFENALCO ANTIOQUIA</t>
        </is>
      </c>
      <c r="BD6" s="49" t="inlineStr">
        <is>
          <t>RIESGOS PROFESIONALES COLMENA S.A.</t>
        </is>
      </c>
      <c r="BE6" s="49" t="inlineStr">
        <is>
          <t>PORVENIR CESANTIAS</t>
        </is>
      </c>
      <c r="BF6" s="49" t="n">
        <v>6.96</v>
      </c>
      <c r="BG6" s="49" t="n">
        <v>220</v>
      </c>
      <c r="BH6" s="49" t="n">
        <v>15</v>
      </c>
      <c r="BI6" s="49" t="inlineStr">
        <is>
          <t xml:space="preserve">0           </t>
        </is>
      </c>
      <c r="BJ6" s="49" t="inlineStr">
        <is>
          <t xml:space="preserve">NO APLICA                               </t>
        </is>
      </c>
      <c r="BK6" s="49" t="inlineStr">
        <is>
          <t>02</t>
        </is>
      </c>
      <c r="BL6" s="49" t="inlineStr">
        <is>
          <t xml:space="preserve">Caldas                                  </t>
        </is>
      </c>
      <c r="BM6" s="49" t="inlineStr">
        <is>
          <t>02</t>
        </is>
      </c>
      <c r="BN6" s="49" t="inlineStr">
        <is>
          <t xml:space="preserve">Supia                                   </t>
        </is>
      </c>
      <c r="BO6" s="49" t="inlineStr">
        <is>
          <t>0</t>
        </is>
      </c>
      <c r="BP6" s="49" t="inlineStr">
        <is>
          <t>NO APLICA</t>
        </is>
      </c>
      <c r="BQ6" s="49" t="inlineStr">
        <is>
          <t>0</t>
        </is>
      </c>
      <c r="BR6" s="49" t="inlineStr">
        <is>
          <t>NO APLICA</t>
        </is>
      </c>
      <c r="BS6" s="49" t="inlineStr">
        <is>
          <t>0</t>
        </is>
      </c>
      <c r="BT6" s="49" t="inlineStr">
        <is>
          <t>NO APLICA</t>
        </is>
      </c>
      <c r="BU6" s="49" t="inlineStr">
        <is>
          <t>0</t>
        </is>
      </c>
      <c r="BV6" s="49" t="inlineStr">
        <is>
          <t>NO APLICA</t>
        </is>
      </c>
      <c r="BW6" s="49" t="inlineStr">
        <is>
          <t>No</t>
        </is>
      </c>
      <c r="BX6" s="49" t="inlineStr">
        <is>
          <t xml:space="preserve">No Aplica                     </t>
        </is>
      </c>
    </row>
    <row r="7" ht="15" customHeight="1">
      <c r="A7" s="49" t="n">
        <v>1033340485</v>
      </c>
      <c r="B7" s="49" t="inlineStr">
        <is>
          <t>049</t>
        </is>
      </c>
      <c r="C7" s="49" t="n">
        <v>1033340485</v>
      </c>
      <c r="D7" s="49" t="inlineStr">
        <is>
          <t>CC</t>
        </is>
      </c>
      <c r="E7" s="49" t="inlineStr">
        <is>
          <t>ARISMENDY AGUDELO ALEJANDRA</t>
        </is>
      </c>
      <c r="F7" s="49" t="inlineStr">
        <is>
          <t>F</t>
        </is>
      </c>
      <c r="G7" s="49" t="inlineStr">
        <is>
          <t xml:space="preserve">O  </t>
        </is>
      </c>
      <c r="H7" s="49" t="inlineStr">
        <is>
          <t>+</t>
        </is>
      </c>
      <c r="I7" s="49" t="inlineStr">
        <is>
          <t>SOLTERO</t>
        </is>
      </c>
      <c r="J7" s="49" t="inlineStr">
        <is>
          <t xml:space="preserve">AMAGA                         </t>
        </is>
      </c>
      <c r="K7" s="49" t="n">
        <v>0</v>
      </c>
      <c r="L7" s="49" t="inlineStr">
        <is>
          <t>16/12/1993</t>
        </is>
      </c>
      <c r="M7" s="49" t="inlineStr">
        <is>
          <t xml:space="preserve">SUPIA                         </t>
        </is>
      </c>
      <c r="N7" s="49" t="inlineStr">
        <is>
          <t xml:space="preserve">NA                  </t>
        </is>
      </c>
      <c r="O7" s="49" t="inlineStr">
        <is>
          <t>3006169601</t>
        </is>
      </c>
      <c r="P7" s="49" t="inlineStr">
        <is>
          <t>CL 49 49 27</t>
        </is>
      </c>
      <c r="Q7" s="49" t="inlineStr">
        <is>
          <t>aleja.arismendy18@gmail.com</t>
        </is>
      </c>
      <c r="R7" s="49" t="inlineStr">
        <is>
          <t>JEFE LEGAL</t>
        </is>
      </c>
      <c r="S7" s="108" t="n">
        <v>91.66666600000001</v>
      </c>
      <c r="T7" s="108" t="n">
        <v>0</v>
      </c>
      <c r="U7" s="108" t="n">
        <v>220</v>
      </c>
      <c r="V7" s="49" t="inlineStr">
        <is>
          <t>CONSIG. CTA AHORROS</t>
        </is>
      </c>
      <c r="W7" s="49" t="inlineStr">
        <is>
          <t xml:space="preserve">BANCOLOMBIA S.A.              </t>
        </is>
      </c>
      <c r="X7" s="49" t="inlineStr">
        <is>
          <t xml:space="preserve">00821786606              </t>
        </is>
      </c>
      <c r="Y7" s="49" t="inlineStr">
        <is>
          <t xml:space="preserve">NO APLICA                     </t>
        </is>
      </c>
      <c r="Z7" s="49" t="inlineStr">
        <is>
          <t>CM0603-LEG</t>
        </is>
      </c>
      <c r="AA7" s="49" t="inlineStr">
        <is>
          <t>CM0603-LEG</t>
        </is>
      </c>
      <c r="AB7" s="49" t="inlineStr">
        <is>
          <t xml:space="preserve">01 </t>
        </is>
      </c>
      <c r="AC7" s="49" t="inlineStr">
        <is>
          <t xml:space="preserve">                </t>
        </is>
      </c>
      <c r="AD7" s="49" t="inlineStr">
        <is>
          <t>LEY 50</t>
        </is>
      </c>
      <c r="AE7" s="49" t="inlineStr">
        <is>
          <t>No</t>
        </is>
      </c>
      <c r="AF7" s="49" t="inlineStr">
        <is>
          <t>Normal</t>
        </is>
      </c>
      <c r="AG7" s="49" t="n"/>
      <c r="AH7" s="49" t="inlineStr">
        <is>
          <t>Si</t>
        </is>
      </c>
      <c r="AI7" s="49" t="inlineStr">
        <is>
          <t xml:space="preserve">Normal              </t>
        </is>
      </c>
      <c r="AJ7" s="49" t="inlineStr">
        <is>
          <t xml:space="preserve">Quincenal                     </t>
        </is>
      </c>
      <c r="AK7" s="49" t="inlineStr">
        <is>
          <t>NO</t>
        </is>
      </c>
      <c r="AL7" s="49" t="inlineStr">
        <is>
          <t>NO</t>
        </is>
      </c>
      <c r="AM7" s="49" t="inlineStr">
        <is>
          <t>02/05/2023</t>
        </is>
      </c>
      <c r="AN7" s="49" t="n"/>
      <c r="AO7" s="49" t="n"/>
      <c r="AP7" s="49" t="inlineStr">
        <is>
          <t xml:space="preserve">NO APLICA                </t>
        </is>
      </c>
      <c r="AQ7" s="49" t="n">
        <v>90</v>
      </c>
      <c r="AR7" s="49" t="inlineStr">
        <is>
          <t>01</t>
        </is>
      </c>
      <c r="AS7" s="49" t="n">
        <v>1</v>
      </c>
      <c r="AT7" s="49" t="inlineStr">
        <is>
          <t>No</t>
        </is>
      </c>
      <c r="AU7" s="49" t="n">
        <v>0</v>
      </c>
      <c r="AV7" s="108" t="n">
        <v>0</v>
      </c>
      <c r="AW7" s="108" t="n">
        <v>393821</v>
      </c>
      <c r="AX7" s="108" t="n">
        <v>0</v>
      </c>
      <c r="AY7" s="49" t="inlineStr">
        <is>
          <t>No</t>
        </is>
      </c>
      <c r="AZ7" s="49" t="n">
        <v>264939</v>
      </c>
      <c r="BA7" s="49" t="inlineStr">
        <is>
          <t>SURA E.P.S.</t>
        </is>
      </c>
      <c r="BB7" s="49" t="inlineStr">
        <is>
          <t>PORVENIR A.F.P.</t>
        </is>
      </c>
      <c r="BC7" s="49" t="inlineStr">
        <is>
          <t>CCF DE CALDAS</t>
        </is>
      </c>
      <c r="BD7" s="49" t="inlineStr">
        <is>
          <t>RIESGOS PROFESIONALES COLMENA S.A.</t>
        </is>
      </c>
      <c r="BE7" s="49" t="inlineStr">
        <is>
          <t>PORVENIR CESANTIAS</t>
        </is>
      </c>
      <c r="BF7" s="49" t="n">
        <v>0.522</v>
      </c>
      <c r="BG7" s="49" t="n">
        <v>220</v>
      </c>
      <c r="BH7" s="49" t="n">
        <v>15</v>
      </c>
      <c r="BI7" s="49" t="inlineStr">
        <is>
          <t xml:space="preserve">0           </t>
        </is>
      </c>
      <c r="BJ7" s="49" t="inlineStr">
        <is>
          <t xml:space="preserve">NO APLICA                               </t>
        </is>
      </c>
      <c r="BK7" s="49" t="inlineStr">
        <is>
          <t>02</t>
        </is>
      </c>
      <c r="BL7" s="49" t="inlineStr">
        <is>
          <t xml:space="preserve">Caldas                                  </t>
        </is>
      </c>
      <c r="BM7" s="49" t="inlineStr">
        <is>
          <t>02</t>
        </is>
      </c>
      <c r="BN7" s="49" t="inlineStr">
        <is>
          <t xml:space="preserve">Supia                                   </t>
        </is>
      </c>
      <c r="BO7" s="49" t="inlineStr">
        <is>
          <t>0</t>
        </is>
      </c>
      <c r="BP7" s="49" t="inlineStr">
        <is>
          <t>NO APLICA</t>
        </is>
      </c>
      <c r="BQ7" s="49" t="inlineStr">
        <is>
          <t>0</t>
        </is>
      </c>
      <c r="BR7" s="49" t="inlineStr">
        <is>
          <t>NO APLICA</t>
        </is>
      </c>
      <c r="BS7" s="49" t="inlineStr">
        <is>
          <t>0</t>
        </is>
      </c>
      <c r="BT7" s="49" t="inlineStr">
        <is>
          <t>NO APLICA</t>
        </is>
      </c>
      <c r="BU7" s="49" t="inlineStr">
        <is>
          <t>0</t>
        </is>
      </c>
      <c r="BV7" s="49" t="inlineStr">
        <is>
          <t>NO APLICA</t>
        </is>
      </c>
      <c r="BW7" s="49" t="inlineStr">
        <is>
          <t>No</t>
        </is>
      </c>
      <c r="BX7" s="49" t="inlineStr">
        <is>
          <t xml:space="preserve">No Aplica                     </t>
        </is>
      </c>
    </row>
    <row r="8" ht="22.5" customHeight="1">
      <c r="A8" s="49" t="n">
        <v>1034776899</v>
      </c>
      <c r="B8" s="49" t="inlineStr">
        <is>
          <t>089</t>
        </is>
      </c>
      <c r="C8" s="49" t="n">
        <v>1034776899</v>
      </c>
      <c r="D8" s="49" t="inlineStr">
        <is>
          <t>CC</t>
        </is>
      </c>
      <c r="E8" s="49" t="inlineStr">
        <is>
          <t>LADINO GONZALEZ CAMILO ANDRES</t>
        </is>
      </c>
      <c r="F8" s="49" t="inlineStr">
        <is>
          <t>M</t>
        </is>
      </c>
      <c r="G8" s="49" t="inlineStr">
        <is>
          <t xml:space="preserve">A  </t>
        </is>
      </c>
      <c r="H8" s="49" t="inlineStr">
        <is>
          <t>+</t>
        </is>
      </c>
      <c r="I8" s="49" t="inlineStr">
        <is>
          <t>SOLTERO</t>
        </is>
      </c>
      <c r="J8" s="49" t="inlineStr">
        <is>
          <t xml:space="preserve">RIOSUCIO                      </t>
        </is>
      </c>
      <c r="K8" s="49" t="n">
        <v>0</v>
      </c>
      <c r="L8" s="49" t="inlineStr">
        <is>
          <t>27/05/2004</t>
        </is>
      </c>
      <c r="M8" s="49" t="inlineStr">
        <is>
          <t xml:space="preserve">SUPIA                         </t>
        </is>
      </c>
      <c r="N8" s="49" t="inlineStr">
        <is>
          <t xml:space="preserve">0                   </t>
        </is>
      </c>
      <c r="O8" s="49" t="inlineStr">
        <is>
          <t>3217308347</t>
        </is>
      </c>
      <c r="P8" s="49" t="inlineStr">
        <is>
          <t>VDA EL EDEN</t>
        </is>
      </c>
      <c r="Q8" s="49" t="inlineStr">
        <is>
          <t>camiloandresladinog@gmail.com</t>
        </is>
      </c>
      <c r="R8" s="49" t="inlineStr">
        <is>
          <t>AUXILIAR DE EXPLORACIÓN</t>
        </is>
      </c>
      <c r="S8" s="108" t="n">
        <v>91.66666600000001</v>
      </c>
      <c r="T8" s="108" t="n">
        <v>0</v>
      </c>
      <c r="U8" s="108" t="n">
        <v>220</v>
      </c>
      <c r="V8" s="49" t="inlineStr">
        <is>
          <t>CONSIG. CTA AHORROS</t>
        </is>
      </c>
      <c r="W8" s="49" t="inlineStr">
        <is>
          <t xml:space="preserve">BANCO DAVIVIENDA S.A.         </t>
        </is>
      </c>
      <c r="X8" s="49" t="inlineStr">
        <is>
          <t xml:space="preserve">0550488446596212         </t>
        </is>
      </c>
      <c r="Y8" s="49" t="inlineStr">
        <is>
          <t xml:space="preserve">NO APLICA                     </t>
        </is>
      </c>
      <c r="Z8" s="49" t="inlineStr">
        <is>
          <t>CM0100-EXP</t>
        </is>
      </c>
      <c r="AA8" s="49" t="inlineStr">
        <is>
          <t>CM0100-EXP</t>
        </is>
      </c>
      <c r="AB8" s="49" t="inlineStr">
        <is>
          <t xml:space="preserve">01 </t>
        </is>
      </c>
      <c r="AC8" s="49" t="inlineStr">
        <is>
          <t xml:space="preserve">                </t>
        </is>
      </c>
      <c r="AD8" s="49" t="inlineStr">
        <is>
          <t>LEY 50</t>
        </is>
      </c>
      <c r="AE8" s="49" t="inlineStr">
        <is>
          <t>No</t>
        </is>
      </c>
      <c r="AF8" s="49" t="inlineStr">
        <is>
          <t>Normal</t>
        </is>
      </c>
      <c r="AG8" s="49" t="n"/>
      <c r="AH8" s="49" t="inlineStr">
        <is>
          <t>Si</t>
        </is>
      </c>
      <c r="AI8" s="49" t="inlineStr">
        <is>
          <t xml:space="preserve">Normal              </t>
        </is>
      </c>
      <c r="AJ8" s="49" t="inlineStr">
        <is>
          <t xml:space="preserve">Quincenal                     </t>
        </is>
      </c>
      <c r="AK8" s="49" t="inlineStr">
        <is>
          <t>NO</t>
        </is>
      </c>
      <c r="AL8" s="49" t="inlineStr">
        <is>
          <t>NO</t>
        </is>
      </c>
      <c r="AM8" s="49" t="inlineStr">
        <is>
          <t>16/09/2024</t>
        </is>
      </c>
      <c r="AN8" s="49" t="n"/>
      <c r="AO8" s="49" t="n"/>
      <c r="AP8" s="49" t="inlineStr">
        <is>
          <t xml:space="preserve">NO APLICA                </t>
        </is>
      </c>
      <c r="AQ8" s="49" t="n">
        <v>150</v>
      </c>
      <c r="AR8" s="49" t="inlineStr">
        <is>
          <t>01</t>
        </is>
      </c>
      <c r="AS8" s="49" t="n">
        <v>1</v>
      </c>
      <c r="AT8" s="49" t="inlineStr">
        <is>
          <t>No</t>
        </is>
      </c>
      <c r="AU8" s="49" t="n">
        <v>0</v>
      </c>
      <c r="AV8" s="108" t="n">
        <v>0</v>
      </c>
      <c r="AW8" s="108" t="n">
        <v>0</v>
      </c>
      <c r="AX8" s="108" t="n">
        <v>0</v>
      </c>
      <c r="AY8" s="49" t="inlineStr">
        <is>
          <t>No</t>
        </is>
      </c>
      <c r="AZ8" s="49" t="n">
        <v>72964</v>
      </c>
      <c r="BA8" s="49" t="inlineStr">
        <is>
          <t>SALUD TOTAL E.P.S.</t>
        </is>
      </c>
      <c r="BB8" s="49" t="inlineStr">
        <is>
          <t>PROTECCION A.F.P</t>
        </is>
      </c>
      <c r="BC8" s="49" t="inlineStr">
        <is>
          <t>CCF DE CALDAS</t>
        </is>
      </c>
      <c r="BD8" s="49" t="inlineStr">
        <is>
          <t>RIESGOS PROFESIONALES COLMENA S.A.</t>
        </is>
      </c>
      <c r="BE8" s="49" t="inlineStr">
        <is>
          <t>PORVENIR CESANTIAS</t>
        </is>
      </c>
      <c r="BF8" s="49" t="n">
        <v>6.96</v>
      </c>
      <c r="BG8" s="49" t="n">
        <v>220</v>
      </c>
      <c r="BH8" s="49" t="n">
        <v>15</v>
      </c>
      <c r="BI8" s="49" t="inlineStr">
        <is>
          <t xml:space="preserve">0           </t>
        </is>
      </c>
      <c r="BJ8" s="49" t="inlineStr">
        <is>
          <t xml:space="preserve">NO APLICA                               </t>
        </is>
      </c>
      <c r="BK8" s="49" t="inlineStr">
        <is>
          <t>02</t>
        </is>
      </c>
      <c r="BL8" s="49" t="inlineStr">
        <is>
          <t xml:space="preserve">Caldas                                  </t>
        </is>
      </c>
      <c r="BM8" s="49" t="inlineStr">
        <is>
          <t>02</t>
        </is>
      </c>
      <c r="BN8" s="49" t="inlineStr">
        <is>
          <t xml:space="preserve">Supia                                   </t>
        </is>
      </c>
      <c r="BO8" s="49" t="inlineStr">
        <is>
          <t>0</t>
        </is>
      </c>
      <c r="BP8" s="49" t="inlineStr">
        <is>
          <t>NO APLICA</t>
        </is>
      </c>
      <c r="BQ8" s="49" t="inlineStr">
        <is>
          <t>0</t>
        </is>
      </c>
      <c r="BR8" s="49" t="inlineStr">
        <is>
          <t>NO APLICA</t>
        </is>
      </c>
      <c r="BS8" s="49" t="inlineStr">
        <is>
          <t>0</t>
        </is>
      </c>
      <c r="BT8" s="49" t="inlineStr">
        <is>
          <t>NO APLICA</t>
        </is>
      </c>
      <c r="BU8" s="49" t="inlineStr">
        <is>
          <t>0</t>
        </is>
      </c>
      <c r="BV8" s="49" t="inlineStr">
        <is>
          <t>NO APLICA</t>
        </is>
      </c>
      <c r="BW8" s="49" t="inlineStr">
        <is>
          <t>No</t>
        </is>
      </c>
      <c r="BX8" s="49" t="inlineStr">
        <is>
          <t xml:space="preserve">No Aplica                     </t>
        </is>
      </c>
    </row>
    <row r="9" ht="15" customHeight="1">
      <c r="A9" s="49" t="n">
        <v>1034986488</v>
      </c>
      <c r="B9" s="49" t="inlineStr">
        <is>
          <t xml:space="preserve"> 173</t>
        </is>
      </c>
      <c r="C9" s="49" t="n">
        <v>1034986488</v>
      </c>
      <c r="D9" s="49" t="inlineStr">
        <is>
          <t>CC</t>
        </is>
      </c>
      <c r="E9" s="49" t="inlineStr">
        <is>
          <t>CALLE PALMETT JUAN ESTEBAN</t>
        </is>
      </c>
      <c r="F9" s="49" t="inlineStr">
        <is>
          <t>M</t>
        </is>
      </c>
      <c r="G9" s="49" t="inlineStr">
        <is>
          <t xml:space="preserve">A  </t>
        </is>
      </c>
      <c r="H9" s="49" t="inlineStr">
        <is>
          <t>+</t>
        </is>
      </c>
      <c r="I9" s="49" t="inlineStr">
        <is>
          <t>SOLTERO</t>
        </is>
      </c>
      <c r="J9" s="49" t="inlineStr">
        <is>
          <t xml:space="preserve">MEDELLÍN                      </t>
        </is>
      </c>
      <c r="K9" s="49" t="n">
        <v>0</v>
      </c>
      <c r="L9" s="49" t="inlineStr">
        <is>
          <t>19/03/2004</t>
        </is>
      </c>
      <c r="M9" s="49" t="inlineStr">
        <is>
          <t xml:space="preserve">SUPIA                         </t>
        </is>
      </c>
      <c r="N9" s="49" t="inlineStr">
        <is>
          <t xml:space="preserve">0000                </t>
        </is>
      </c>
      <c r="O9" s="49" t="inlineStr">
        <is>
          <t>3126803094</t>
        </is>
      </c>
      <c r="P9" s="49" t="inlineStr">
        <is>
          <t>CR 42b 23a sur 84</t>
        </is>
      </c>
      <c r="Q9" s="49" t="inlineStr">
        <is>
          <t>juane.calle@upb.edu.co</t>
        </is>
      </c>
      <c r="R9" s="49" t="inlineStr">
        <is>
          <t>PRACTICANTE UNIVERSITARIO</t>
        </is>
      </c>
      <c r="S9" s="108" t="n">
        <v>91.66666600000001</v>
      </c>
      <c r="T9" s="108" t="n">
        <v>0</v>
      </c>
      <c r="U9" s="108" t="n">
        <v>220</v>
      </c>
      <c r="V9" s="49" t="inlineStr">
        <is>
          <t>CONSIG. CTA AHORROS</t>
        </is>
      </c>
      <c r="W9" s="49" t="inlineStr">
        <is>
          <t xml:space="preserve">BANCOLOMBIA S.A.              </t>
        </is>
      </c>
      <c r="X9" s="49" t="inlineStr">
        <is>
          <t xml:space="preserve">90738492331              </t>
        </is>
      </c>
      <c r="Y9" s="49" t="inlineStr">
        <is>
          <t xml:space="preserve">NO APLICA                     </t>
        </is>
      </c>
      <c r="Z9" s="49" t="inlineStr">
        <is>
          <t>CM0601-HUR</t>
        </is>
      </c>
      <c r="AA9" s="49" t="inlineStr">
        <is>
          <t>CM0601-HUR</t>
        </is>
      </c>
      <c r="AB9" s="49" t="inlineStr">
        <is>
          <t xml:space="preserve">01 </t>
        </is>
      </c>
      <c r="AC9" s="49" t="inlineStr">
        <is>
          <t xml:space="preserve">                </t>
        </is>
      </c>
      <c r="AD9" s="49" t="inlineStr">
        <is>
          <t>LEY 50</t>
        </is>
      </c>
      <c r="AE9" s="49" t="inlineStr">
        <is>
          <t>No</t>
        </is>
      </c>
      <c r="AF9" s="49" t="inlineStr">
        <is>
          <t>Normal</t>
        </is>
      </c>
      <c r="AG9" s="49" t="n"/>
      <c r="AH9" s="49" t="inlineStr">
        <is>
          <t>Si</t>
        </is>
      </c>
      <c r="AI9" s="49" t="inlineStr">
        <is>
          <t xml:space="preserve">Normal              </t>
        </is>
      </c>
      <c r="AJ9" s="49" t="inlineStr">
        <is>
          <t xml:space="preserve">Quincenal                     </t>
        </is>
      </c>
      <c r="AK9" s="49" t="inlineStr">
        <is>
          <t>NO</t>
        </is>
      </c>
      <c r="AL9" s="49" t="inlineStr">
        <is>
          <t>NO</t>
        </is>
      </c>
      <c r="AM9" s="49" t="inlineStr">
        <is>
          <t>03/03/2026</t>
        </is>
      </c>
      <c r="AN9" s="49" t="n"/>
      <c r="AO9" s="49" t="n"/>
      <c r="AP9" s="49" t="inlineStr">
        <is>
          <t xml:space="preserve">NO APLICA                </t>
        </is>
      </c>
      <c r="AQ9" s="49" t="n">
        <v>233</v>
      </c>
      <c r="AR9" s="49" t="inlineStr">
        <is>
          <t>01</t>
        </is>
      </c>
      <c r="AS9" s="49" t="n">
        <v>1</v>
      </c>
      <c r="AT9" s="49" t="inlineStr">
        <is>
          <t>No</t>
        </is>
      </c>
      <c r="AU9" s="49" t="n">
        <v>0</v>
      </c>
      <c r="AV9" s="108" t="n">
        <v>0</v>
      </c>
      <c r="AW9" s="108" t="n">
        <v>0</v>
      </c>
      <c r="AX9" s="108" t="n">
        <v>0</v>
      </c>
      <c r="AY9" s="49" t="inlineStr">
        <is>
          <t>No</t>
        </is>
      </c>
      <c r="AZ9" s="49" t="n">
        <v>0</v>
      </c>
      <c r="BA9" s="49" t="inlineStr">
        <is>
          <t>SURA E.P.S.</t>
        </is>
      </c>
      <c r="BB9" s="49" t="inlineStr">
        <is>
          <t>PORVENIR A.F.P.</t>
        </is>
      </c>
      <c r="BC9" s="49" t="inlineStr">
        <is>
          <t>CCF COMFENALCO ANTIOQUIA</t>
        </is>
      </c>
      <c r="BD9" s="49" t="inlineStr">
        <is>
          <t>RIESGOS PROFESIONALES COLMENA S.A.</t>
        </is>
      </c>
      <c r="BE9" s="49" t="inlineStr">
        <is>
          <t>PORVENIR CESANTIAS</t>
        </is>
      </c>
      <c r="BF9" s="49" t="n">
        <v>0.522</v>
      </c>
      <c r="BG9" s="49" t="n">
        <v>220</v>
      </c>
      <c r="BH9" s="49" t="n">
        <v>15</v>
      </c>
      <c r="BI9" s="49" t="inlineStr">
        <is>
          <t xml:space="preserve">0           </t>
        </is>
      </c>
      <c r="BJ9" s="49" t="inlineStr">
        <is>
          <t xml:space="preserve">NO APLICA                               </t>
        </is>
      </c>
      <c r="BK9" s="49" t="inlineStr">
        <is>
          <t>02</t>
        </is>
      </c>
      <c r="BL9" s="49" t="inlineStr">
        <is>
          <t xml:space="preserve">Caldas                                  </t>
        </is>
      </c>
      <c r="BM9" s="49" t="inlineStr">
        <is>
          <t>02</t>
        </is>
      </c>
      <c r="BN9" s="49" t="inlineStr">
        <is>
          <t xml:space="preserve">Supia                                   </t>
        </is>
      </c>
      <c r="BO9" s="49" t="inlineStr">
        <is>
          <t>0</t>
        </is>
      </c>
      <c r="BP9" s="49" t="inlineStr">
        <is>
          <t>NO APLICA</t>
        </is>
      </c>
      <c r="BQ9" s="49" t="inlineStr">
        <is>
          <t>0</t>
        </is>
      </c>
      <c r="BR9" s="49" t="inlineStr">
        <is>
          <t>NO APLICA</t>
        </is>
      </c>
      <c r="BS9" s="49" t="inlineStr">
        <is>
          <t>0</t>
        </is>
      </c>
      <c r="BT9" s="49" t="inlineStr">
        <is>
          <t>NO APLICA</t>
        </is>
      </c>
      <c r="BU9" s="49" t="inlineStr">
        <is>
          <t>0</t>
        </is>
      </c>
      <c r="BV9" s="49" t="inlineStr">
        <is>
          <t>NO APLICA</t>
        </is>
      </c>
      <c r="BW9" s="49" t="inlineStr">
        <is>
          <t>No</t>
        </is>
      </c>
      <c r="BX9" s="49" t="inlineStr">
        <is>
          <t xml:space="preserve">No Aplica                     </t>
        </is>
      </c>
    </row>
    <row r="10" ht="15" customHeight="1">
      <c r="A10" s="49" t="n">
        <v>1035871844</v>
      </c>
      <c r="B10" s="49" t="inlineStr">
        <is>
          <t>039</t>
        </is>
      </c>
      <c r="C10" s="49" t="n">
        <v>1035871844</v>
      </c>
      <c r="D10" s="49" t="inlineStr">
        <is>
          <t>CC</t>
        </is>
      </c>
      <c r="E10" s="49" t="inlineStr">
        <is>
          <t>MEJIA OSORIO MANUELA</t>
        </is>
      </c>
      <c r="F10" s="49" t="inlineStr">
        <is>
          <t>F</t>
        </is>
      </c>
      <c r="G10" s="49" t="inlineStr">
        <is>
          <t xml:space="preserve">O  </t>
        </is>
      </c>
      <c r="H10" s="49" t="inlineStr">
        <is>
          <t>+</t>
        </is>
      </c>
      <c r="I10" s="49" t="inlineStr">
        <is>
          <t>SOLTERO</t>
        </is>
      </c>
      <c r="J10" s="49" t="inlineStr">
        <is>
          <t xml:space="preserve">SUPIA                         </t>
        </is>
      </c>
      <c r="K10" s="49" t="n">
        <v>0</v>
      </c>
      <c r="L10" s="49" t="inlineStr">
        <is>
          <t>02/12/1995</t>
        </is>
      </c>
      <c r="M10" s="49" t="inlineStr">
        <is>
          <t xml:space="preserve">SUPIA                         </t>
        </is>
      </c>
      <c r="N10" s="49" t="inlineStr">
        <is>
          <t xml:space="preserve">3233260638          </t>
        </is>
      </c>
      <c r="O10" s="49" t="inlineStr">
        <is>
          <t>3233260638</t>
        </is>
      </c>
      <c r="P10" s="49" t="inlineStr">
        <is>
          <t>CALLE 31 # 10-47</t>
        </is>
      </c>
      <c r="Q10" s="49" t="inlineStr">
        <is>
          <t>manuelamejia18@gmail.com</t>
        </is>
      </c>
      <c r="R10" s="49" t="inlineStr">
        <is>
          <t>ANALISTA HSE I</t>
        </is>
      </c>
      <c r="S10" s="108" t="n">
        <v>91.66666600000001</v>
      </c>
      <c r="T10" s="108" t="n">
        <v>0</v>
      </c>
      <c r="U10" s="108" t="n">
        <v>220</v>
      </c>
      <c r="V10" s="49" t="inlineStr">
        <is>
          <t>CONSIG. CTA AHORROS</t>
        </is>
      </c>
      <c r="W10" s="49" t="inlineStr">
        <is>
          <t xml:space="preserve">BANCOLOMBIA S.A.              </t>
        </is>
      </c>
      <c r="X10" s="49" t="inlineStr">
        <is>
          <t xml:space="preserve">36877088230              </t>
        </is>
      </c>
      <c r="Y10" s="49" t="inlineStr">
        <is>
          <t xml:space="preserve">NO APLICA                     </t>
        </is>
      </c>
      <c r="Z10" s="49" t="inlineStr">
        <is>
          <t>CM0204-ESG</t>
        </is>
      </c>
      <c r="AA10" s="49" t="inlineStr">
        <is>
          <t>CM0204-ESGHSE</t>
        </is>
      </c>
      <c r="AB10" s="49" t="inlineStr">
        <is>
          <t xml:space="preserve">01 </t>
        </is>
      </c>
      <c r="AC10" s="49" t="inlineStr">
        <is>
          <t xml:space="preserve">0               </t>
        </is>
      </c>
      <c r="AD10" s="49" t="inlineStr">
        <is>
          <t>LEY 50</t>
        </is>
      </c>
      <c r="AE10" s="49" t="inlineStr">
        <is>
          <t>No</t>
        </is>
      </c>
      <c r="AF10" s="49" t="inlineStr">
        <is>
          <t>Normal</t>
        </is>
      </c>
      <c r="AG10" s="49" t="n"/>
      <c r="AH10" s="49" t="inlineStr">
        <is>
          <t>Si</t>
        </is>
      </c>
      <c r="AI10" s="49" t="inlineStr">
        <is>
          <t xml:space="preserve">Normal              </t>
        </is>
      </c>
      <c r="AJ10" s="49" t="inlineStr">
        <is>
          <t xml:space="preserve">Quincenal                     </t>
        </is>
      </c>
      <c r="AK10" s="49" t="inlineStr">
        <is>
          <t>NO</t>
        </is>
      </c>
      <c r="AL10" s="49" t="inlineStr">
        <is>
          <t>NO</t>
        </is>
      </c>
      <c r="AM10" s="49" t="inlineStr">
        <is>
          <t>15/09/2022</t>
        </is>
      </c>
      <c r="AN10" s="49" t="n"/>
      <c r="AO10" s="49" t="n"/>
      <c r="AP10" s="49" t="inlineStr">
        <is>
          <t xml:space="preserve">NO APLICA                </t>
        </is>
      </c>
      <c r="AQ10" s="49" t="n">
        <v>14</v>
      </c>
      <c r="AR10" s="49" t="inlineStr">
        <is>
          <t>03</t>
        </is>
      </c>
      <c r="AS10" s="49" t="n">
        <v>1</v>
      </c>
      <c r="AT10" s="49" t="inlineStr">
        <is>
          <t>No</t>
        </is>
      </c>
      <c r="AU10" s="49" t="n">
        <v>0</v>
      </c>
      <c r="AV10" s="108" t="n">
        <v>0</v>
      </c>
      <c r="AW10" s="108" t="n">
        <v>0</v>
      </c>
      <c r="AX10" s="108" t="n">
        <v>0</v>
      </c>
      <c r="AY10" s="49" t="inlineStr">
        <is>
          <t>No</t>
        </is>
      </c>
      <c r="AZ10" s="49" t="n">
        <v>87880</v>
      </c>
      <c r="BA10" s="49" t="inlineStr">
        <is>
          <t>NUEVA E.P.S</t>
        </is>
      </c>
      <c r="BB10" s="49" t="inlineStr">
        <is>
          <t>COLPENSIONES - I.S.S. PENSION</t>
        </is>
      </c>
      <c r="BC10" s="49" t="inlineStr">
        <is>
          <t>CCF DE CALDAS</t>
        </is>
      </c>
      <c r="BD10" s="49" t="inlineStr">
        <is>
          <t>RIESGOS PROFESIONALES COLMENA S.A.</t>
        </is>
      </c>
      <c r="BE10" s="49" t="inlineStr">
        <is>
          <t>PORVENIR CESANTIAS</t>
        </is>
      </c>
      <c r="BF10" s="49" t="n">
        <v>6.96</v>
      </c>
      <c r="BG10" s="49" t="n">
        <v>220</v>
      </c>
      <c r="BH10" s="49" t="n">
        <v>15</v>
      </c>
      <c r="BI10" s="49" t="inlineStr">
        <is>
          <t xml:space="preserve">0           </t>
        </is>
      </c>
      <c r="BJ10" s="49" t="inlineStr">
        <is>
          <t xml:space="preserve">NO APLICA                               </t>
        </is>
      </c>
      <c r="BK10" s="49" t="inlineStr">
        <is>
          <t>02</t>
        </is>
      </c>
      <c r="BL10" s="49" t="inlineStr">
        <is>
          <t xml:space="preserve">Caldas                                  </t>
        </is>
      </c>
      <c r="BM10" s="49" t="inlineStr">
        <is>
          <t>02</t>
        </is>
      </c>
      <c r="BN10" s="49" t="inlineStr">
        <is>
          <t xml:space="preserve">Supia                                   </t>
        </is>
      </c>
      <c r="BO10" s="49" t="inlineStr">
        <is>
          <t>0</t>
        </is>
      </c>
      <c r="BP10" s="49" t="inlineStr">
        <is>
          <t>NO APLICA</t>
        </is>
      </c>
      <c r="BQ10" s="49" t="inlineStr">
        <is>
          <t>0</t>
        </is>
      </c>
      <c r="BR10" s="49" t="inlineStr">
        <is>
          <t>NO APLICA</t>
        </is>
      </c>
      <c r="BS10" s="49" t="inlineStr">
        <is>
          <t>0</t>
        </is>
      </c>
      <c r="BT10" s="49" t="inlineStr">
        <is>
          <t>NO APLICA</t>
        </is>
      </c>
      <c r="BU10" s="49" t="inlineStr">
        <is>
          <t>0</t>
        </is>
      </c>
      <c r="BV10" s="49" t="inlineStr">
        <is>
          <t>NO APLICA</t>
        </is>
      </c>
      <c r="BW10" s="49" t="inlineStr">
        <is>
          <t>No</t>
        </is>
      </c>
      <c r="BX10" s="49" t="inlineStr">
        <is>
          <t xml:space="preserve">No Aplica                     </t>
        </is>
      </c>
    </row>
    <row r="11" ht="22.5" customHeight="1">
      <c r="A11" s="49" t="n">
        <v>1036625005</v>
      </c>
      <c r="B11" s="49" t="inlineStr">
        <is>
          <t xml:space="preserve"> 126</t>
        </is>
      </c>
      <c r="C11" s="49" t="n">
        <v>1036625005</v>
      </c>
      <c r="D11" s="49" t="inlineStr">
        <is>
          <t>CC</t>
        </is>
      </c>
      <c r="E11" s="49" t="inlineStr">
        <is>
          <t>RICO GODOY CATHERINE</t>
        </is>
      </c>
      <c r="F11" s="49" t="inlineStr">
        <is>
          <t>F</t>
        </is>
      </c>
      <c r="G11" s="49" t="inlineStr">
        <is>
          <t xml:space="preserve">A  </t>
        </is>
      </c>
      <c r="H11" s="49" t="inlineStr">
        <is>
          <t>+</t>
        </is>
      </c>
      <c r="I11" s="49" t="inlineStr">
        <is>
          <t>CASADO</t>
        </is>
      </c>
      <c r="J11" s="49" t="inlineStr">
        <is>
          <t xml:space="preserve">ITAGUI                        </t>
        </is>
      </c>
      <c r="K11" s="49" t="n">
        <v>0</v>
      </c>
      <c r="L11" s="49" t="inlineStr">
        <is>
          <t>22/06/1989</t>
        </is>
      </c>
      <c r="M11" s="49" t="inlineStr">
        <is>
          <t xml:space="preserve">SUPIA                         </t>
        </is>
      </c>
      <c r="N11" s="49" t="inlineStr">
        <is>
          <t xml:space="preserve">0000                </t>
        </is>
      </c>
      <c r="O11" s="49" t="inlineStr">
        <is>
          <t>3113323075</t>
        </is>
      </c>
      <c r="P11" s="49" t="inlineStr">
        <is>
          <t>CR 42 s 69 68</t>
        </is>
      </c>
      <c r="Q11" s="49" t="inlineStr">
        <is>
          <t>cathe.pollo24@gmail.com</t>
        </is>
      </c>
      <c r="R11" s="49" t="inlineStr">
        <is>
          <t>ANALISTA CONTABLE Y TRIBUTARIO</t>
        </is>
      </c>
      <c r="S11" s="108" t="n">
        <v>91.66666600000001</v>
      </c>
      <c r="T11" s="108" t="n">
        <v>0</v>
      </c>
      <c r="U11" s="108" t="n">
        <v>220</v>
      </c>
      <c r="V11" s="49" t="inlineStr">
        <is>
          <t>CONSIG. CTA AHORROS</t>
        </is>
      </c>
      <c r="W11" s="49" t="inlineStr">
        <is>
          <t xml:space="preserve">BANCOLOMBIA S.A.              </t>
        </is>
      </c>
      <c r="X11" s="49" t="inlineStr">
        <is>
          <t xml:space="preserve">27972626541              </t>
        </is>
      </c>
      <c r="Y11" s="49" t="inlineStr">
        <is>
          <t xml:space="preserve">NO APLICA                     </t>
        </is>
      </c>
      <c r="Z11" s="49" t="inlineStr">
        <is>
          <t>CM0604-FIN</t>
        </is>
      </c>
      <c r="AA11" s="49" t="inlineStr">
        <is>
          <t>CM0604-FIN</t>
        </is>
      </c>
      <c r="AB11" s="49" t="inlineStr">
        <is>
          <t xml:space="preserve">01 </t>
        </is>
      </c>
      <c r="AC11" s="49" t="inlineStr">
        <is>
          <t xml:space="preserve">                </t>
        </is>
      </c>
      <c r="AD11" s="49" t="inlineStr">
        <is>
          <t>LEY 50</t>
        </is>
      </c>
      <c r="AE11" s="49" t="inlineStr">
        <is>
          <t>No</t>
        </is>
      </c>
      <c r="AF11" s="49" t="inlineStr">
        <is>
          <t>Normal</t>
        </is>
      </c>
      <c r="AG11" s="49" t="n"/>
      <c r="AH11" s="49" t="inlineStr">
        <is>
          <t>Si</t>
        </is>
      </c>
      <c r="AI11" s="49" t="inlineStr">
        <is>
          <t xml:space="preserve">Normal              </t>
        </is>
      </c>
      <c r="AJ11" s="49" t="inlineStr">
        <is>
          <t xml:space="preserve">Quincenal                     </t>
        </is>
      </c>
      <c r="AK11" s="49" t="inlineStr">
        <is>
          <t>NO</t>
        </is>
      </c>
      <c r="AL11" s="49" t="inlineStr">
        <is>
          <t>NO</t>
        </is>
      </c>
      <c r="AM11" s="49" t="inlineStr">
        <is>
          <t>27/06/2025</t>
        </is>
      </c>
      <c r="AN11" s="49" t="n"/>
      <c r="AO11" s="49" t="n"/>
      <c r="AP11" s="49" t="inlineStr">
        <is>
          <t xml:space="preserve">NO APLICA                </t>
        </is>
      </c>
      <c r="AQ11" s="49" t="n">
        <v>186</v>
      </c>
      <c r="AR11" s="49" t="inlineStr">
        <is>
          <t>01</t>
        </is>
      </c>
      <c r="AS11" s="49" t="n">
        <v>1</v>
      </c>
      <c r="AT11" s="49" t="inlineStr">
        <is>
          <t>No</t>
        </is>
      </c>
      <c r="AU11" s="49" t="n">
        <v>0</v>
      </c>
      <c r="AV11" s="108" t="n">
        <v>0</v>
      </c>
      <c r="AW11" s="108" t="n">
        <v>0</v>
      </c>
      <c r="AX11" s="108" t="n">
        <v>0</v>
      </c>
      <c r="AY11" s="49" t="inlineStr">
        <is>
          <t>No</t>
        </is>
      </c>
      <c r="AZ11" s="49" t="n">
        <v>0</v>
      </c>
      <c r="BA11" s="49" t="inlineStr">
        <is>
          <t>SURA E.P.S.</t>
        </is>
      </c>
      <c r="BB11" s="49" t="inlineStr">
        <is>
          <t>PROTECCION A.F.P</t>
        </is>
      </c>
      <c r="BC11" s="49" t="inlineStr">
        <is>
          <t>CCF COMFENALCO ANTIOQUIA</t>
        </is>
      </c>
      <c r="BD11" s="49" t="inlineStr">
        <is>
          <t>RIESGOS PROFESIONALES COLMENA S.A.</t>
        </is>
      </c>
      <c r="BE11" s="49" t="inlineStr">
        <is>
          <t>PROTECCION CESANTIAS</t>
        </is>
      </c>
      <c r="BF11" s="49" t="n">
        <v>0.522</v>
      </c>
      <c r="BG11" s="49" t="n">
        <v>220</v>
      </c>
      <c r="BH11" s="49" t="n">
        <v>15</v>
      </c>
      <c r="BI11" s="49" t="inlineStr">
        <is>
          <t xml:space="preserve">0           </t>
        </is>
      </c>
      <c r="BJ11" s="49" t="inlineStr">
        <is>
          <t xml:space="preserve">NO APLICA                               </t>
        </is>
      </c>
      <c r="BK11" s="49" t="inlineStr">
        <is>
          <t>02</t>
        </is>
      </c>
      <c r="BL11" s="49" t="inlineStr">
        <is>
          <t xml:space="preserve">Caldas                                  </t>
        </is>
      </c>
      <c r="BM11" s="49" t="inlineStr">
        <is>
          <t>02</t>
        </is>
      </c>
      <c r="BN11" s="49" t="inlineStr">
        <is>
          <t xml:space="preserve">Supia                                   </t>
        </is>
      </c>
      <c r="BO11" s="49" t="inlineStr">
        <is>
          <t>0</t>
        </is>
      </c>
      <c r="BP11" s="49" t="inlineStr">
        <is>
          <t>NO APLICA</t>
        </is>
      </c>
      <c r="BQ11" s="49" t="inlineStr">
        <is>
          <t>0</t>
        </is>
      </c>
      <c r="BR11" s="49" t="inlineStr">
        <is>
          <t>NO APLICA</t>
        </is>
      </c>
      <c r="BS11" s="49" t="inlineStr">
        <is>
          <t>0</t>
        </is>
      </c>
      <c r="BT11" s="49" t="inlineStr">
        <is>
          <t>NO APLICA</t>
        </is>
      </c>
      <c r="BU11" s="49" t="inlineStr">
        <is>
          <t>0</t>
        </is>
      </c>
      <c r="BV11" s="49" t="inlineStr">
        <is>
          <t>NO APLICA</t>
        </is>
      </c>
      <c r="BW11" s="49" t="inlineStr">
        <is>
          <t>No</t>
        </is>
      </c>
      <c r="BX11" s="49" t="inlineStr">
        <is>
          <t xml:space="preserve">No Aplica                     </t>
        </is>
      </c>
    </row>
    <row r="12" ht="22.5" customHeight="1">
      <c r="A12" s="49" t="n">
        <v>1037449092</v>
      </c>
      <c r="B12" s="49" t="inlineStr">
        <is>
          <t>010</t>
        </is>
      </c>
      <c r="C12" s="49" t="n">
        <v>1037449092</v>
      </c>
      <c r="D12" s="49" t="inlineStr">
        <is>
          <t>CC</t>
        </is>
      </c>
      <c r="E12" s="49" t="inlineStr">
        <is>
          <t>MAZO OLARTE LEIDY SULAY</t>
        </is>
      </c>
      <c r="F12" s="49" t="inlineStr">
        <is>
          <t>F</t>
        </is>
      </c>
      <c r="G12" s="49" t="inlineStr">
        <is>
          <t xml:space="preserve">O  </t>
        </is>
      </c>
      <c r="H12" s="49" t="inlineStr">
        <is>
          <t>+</t>
        </is>
      </c>
      <c r="I12" s="49" t="inlineStr">
        <is>
          <t>SOLTERO</t>
        </is>
      </c>
      <c r="J12" s="49" t="inlineStr">
        <is>
          <t xml:space="preserve">SAN ANDRES                    </t>
        </is>
      </c>
      <c r="K12" s="49" t="n">
        <v>0</v>
      </c>
      <c r="L12" s="49" t="inlineStr">
        <is>
          <t>19/02/1991</t>
        </is>
      </c>
      <c r="M12" s="49" t="inlineStr">
        <is>
          <t xml:space="preserve">MEDELLÍN                      </t>
        </is>
      </c>
      <c r="N12" s="49" t="inlineStr">
        <is>
          <t xml:space="preserve">3216081119          </t>
        </is>
      </c>
      <c r="O12" s="49" t="inlineStr">
        <is>
          <t>3216081119</t>
        </is>
      </c>
      <c r="P12" s="49" t="inlineStr">
        <is>
          <t>Carrera 95 47ª 60</t>
        </is>
      </c>
      <c r="Q12" s="49" t="inlineStr">
        <is>
          <t>leidymazotrabajadorasocial@gmail.com</t>
        </is>
      </c>
      <c r="R12" s="49" t="inlineStr">
        <is>
          <t>JEFE DE GESTIÓN SOCIAL</t>
        </is>
      </c>
      <c r="S12" s="108" t="n">
        <v>91.66666600000001</v>
      </c>
      <c r="T12" s="108" t="n">
        <v>0</v>
      </c>
      <c r="U12" s="108" t="n">
        <v>220</v>
      </c>
      <c r="V12" s="49" t="inlineStr">
        <is>
          <t>CONSIG. CTA AHORROS</t>
        </is>
      </c>
      <c r="W12" s="49" t="inlineStr">
        <is>
          <t xml:space="preserve">BANCOLOMBIA S.A.              </t>
        </is>
      </c>
      <c r="X12" s="49" t="inlineStr">
        <is>
          <t xml:space="preserve">50362818572              </t>
        </is>
      </c>
      <c r="Y12" s="49" t="inlineStr">
        <is>
          <t xml:space="preserve">NO APLICA                     </t>
        </is>
      </c>
      <c r="Z12" s="49" t="inlineStr">
        <is>
          <t>CM0201-ESG</t>
        </is>
      </c>
      <c r="AA12" s="49" t="inlineStr">
        <is>
          <t>CM0201-ESGSOC</t>
        </is>
      </c>
      <c r="AB12" s="49" t="inlineStr">
        <is>
          <t xml:space="preserve">01 </t>
        </is>
      </c>
      <c r="AC12" s="49" t="inlineStr">
        <is>
          <t xml:space="preserve">0               </t>
        </is>
      </c>
      <c r="AD12" s="49" t="inlineStr">
        <is>
          <t>LEY 50</t>
        </is>
      </c>
      <c r="AE12" s="49" t="inlineStr">
        <is>
          <t>No</t>
        </is>
      </c>
      <c r="AF12" s="49" t="inlineStr">
        <is>
          <t>Normal</t>
        </is>
      </c>
      <c r="AG12" s="49" t="n"/>
      <c r="AH12" s="49" t="inlineStr">
        <is>
          <t>Si</t>
        </is>
      </c>
      <c r="AI12" s="49" t="inlineStr">
        <is>
          <t xml:space="preserve">Normal              </t>
        </is>
      </c>
      <c r="AJ12" s="49" t="inlineStr">
        <is>
          <t xml:space="preserve">Quincenal                     </t>
        </is>
      </c>
      <c r="AK12" s="49" t="inlineStr">
        <is>
          <t>NO</t>
        </is>
      </c>
      <c r="AL12" s="49" t="inlineStr">
        <is>
          <t>NO</t>
        </is>
      </c>
      <c r="AM12" s="49" t="inlineStr">
        <is>
          <t>01/01/2021</t>
        </is>
      </c>
      <c r="AN12" s="49" t="n"/>
      <c r="AO12" s="49" t="n"/>
      <c r="AP12" s="49" t="inlineStr">
        <is>
          <t xml:space="preserve">NO APLICA                </t>
        </is>
      </c>
      <c r="AQ12" s="49" t="n">
        <v>47</v>
      </c>
      <c r="AR12" s="49" t="inlineStr">
        <is>
          <t>01</t>
        </is>
      </c>
      <c r="AS12" s="49" t="n">
        <v>1</v>
      </c>
      <c r="AT12" s="49" t="inlineStr">
        <is>
          <t>No</t>
        </is>
      </c>
      <c r="AU12" s="49" t="n">
        <v>0</v>
      </c>
      <c r="AV12" s="108" t="n">
        <v>0</v>
      </c>
      <c r="AW12" s="108" t="n">
        <v>0</v>
      </c>
      <c r="AX12" s="108" t="n">
        <v>0</v>
      </c>
      <c r="AY12" s="49" t="inlineStr">
        <is>
          <t>No</t>
        </is>
      </c>
      <c r="AZ12" s="49" t="n">
        <v>386093</v>
      </c>
      <c r="BA12" s="49" t="inlineStr">
        <is>
          <t>SANITAS E.P.S</t>
        </is>
      </c>
      <c r="BB12" s="49" t="inlineStr">
        <is>
          <t>PROTECCION A.F.P</t>
        </is>
      </c>
      <c r="BC12" s="49" t="inlineStr">
        <is>
          <t>CCF DE CALDAS</t>
        </is>
      </c>
      <c r="BD12" s="49" t="inlineStr">
        <is>
          <t>RIESGOS PROFESIONALES COLMENA S.A.</t>
        </is>
      </c>
      <c r="BE12" s="49" t="inlineStr">
        <is>
          <t>PORVENIR CESANTIAS</t>
        </is>
      </c>
      <c r="BF12" s="49" t="n">
        <v>6.96</v>
      </c>
      <c r="BG12" s="49" t="n">
        <v>220</v>
      </c>
      <c r="BH12" s="49" t="n">
        <v>15</v>
      </c>
      <c r="BI12" s="49" t="inlineStr">
        <is>
          <t xml:space="preserve">0           </t>
        </is>
      </c>
      <c r="BJ12" s="49" t="inlineStr">
        <is>
          <t xml:space="preserve">NO APLICA                               </t>
        </is>
      </c>
      <c r="BK12" s="49" t="inlineStr">
        <is>
          <t>02</t>
        </is>
      </c>
      <c r="BL12" s="49" t="inlineStr">
        <is>
          <t xml:space="preserve">Caldas                                  </t>
        </is>
      </c>
      <c r="BM12" s="49" t="inlineStr">
        <is>
          <t>02</t>
        </is>
      </c>
      <c r="BN12" s="49" t="inlineStr">
        <is>
          <t xml:space="preserve">Supia                                   </t>
        </is>
      </c>
      <c r="BO12" s="49" t="inlineStr">
        <is>
          <t>0</t>
        </is>
      </c>
      <c r="BP12" s="49" t="inlineStr">
        <is>
          <t>NO APLICA</t>
        </is>
      </c>
      <c r="BQ12" s="49" t="inlineStr">
        <is>
          <t>0</t>
        </is>
      </c>
      <c r="BR12" s="49" t="inlineStr">
        <is>
          <t>NO APLICA</t>
        </is>
      </c>
      <c r="BS12" s="49" t="inlineStr">
        <is>
          <t>0</t>
        </is>
      </c>
      <c r="BT12" s="49" t="inlineStr">
        <is>
          <t>NO APLICA</t>
        </is>
      </c>
      <c r="BU12" s="49" t="inlineStr">
        <is>
          <t>0</t>
        </is>
      </c>
      <c r="BV12" s="49" t="inlineStr">
        <is>
          <t>NO APLICA</t>
        </is>
      </c>
      <c r="BW12" s="49" t="inlineStr">
        <is>
          <t>No</t>
        </is>
      </c>
      <c r="BX12" s="49" t="inlineStr">
        <is>
          <t xml:space="preserve">No Aplica                     </t>
        </is>
      </c>
    </row>
    <row r="13" ht="22.5" customHeight="1">
      <c r="A13" s="49" t="n">
        <v>1037596340</v>
      </c>
      <c r="B13" s="49" t="inlineStr">
        <is>
          <t xml:space="preserve"> 163</t>
        </is>
      </c>
      <c r="C13" s="49" t="n">
        <v>1037596340</v>
      </c>
      <c r="D13" s="49" t="inlineStr">
        <is>
          <t>CC</t>
        </is>
      </c>
      <c r="E13" s="49" t="inlineStr">
        <is>
          <t>MONTOYA POLO CATALINA</t>
        </is>
      </c>
      <c r="F13" s="49" t="inlineStr">
        <is>
          <t>F</t>
        </is>
      </c>
      <c r="G13" s="49" t="inlineStr">
        <is>
          <t xml:space="preserve">A  </t>
        </is>
      </c>
      <c r="H13" s="49" t="inlineStr">
        <is>
          <t>+</t>
        </is>
      </c>
      <c r="I13" s="49" t="inlineStr">
        <is>
          <t>UNION LIBRE</t>
        </is>
      </c>
      <c r="J13" s="49" t="inlineStr">
        <is>
          <t xml:space="preserve">ENVIGADO                      </t>
        </is>
      </c>
      <c r="K13" s="49" t="n">
        <v>0</v>
      </c>
      <c r="L13" s="49" t="inlineStr">
        <is>
          <t>22/07/1989</t>
        </is>
      </c>
      <c r="M13" s="49" t="inlineStr">
        <is>
          <t xml:space="preserve">MEDELLÍN                      </t>
        </is>
      </c>
      <c r="N13" s="49" t="inlineStr">
        <is>
          <t xml:space="preserve">0000                </t>
        </is>
      </c>
      <c r="O13" s="49" t="inlineStr">
        <is>
          <t>3334320838</t>
        </is>
      </c>
      <c r="P13" s="49" t="inlineStr">
        <is>
          <t xml:space="preserve">CL 27 # 56b 14  </t>
        </is>
      </c>
      <c r="Q13" s="49" t="inlineStr">
        <is>
          <t>catam22@hotmail.com</t>
        </is>
      </c>
      <c r="R13" s="49" t="inlineStr">
        <is>
          <t>COORDINADOR DE COSTOS Y CONTABILIDAD</t>
        </is>
      </c>
      <c r="S13" s="108" t="n">
        <v>91.66666600000001</v>
      </c>
      <c r="T13" s="108" t="n">
        <v>0</v>
      </c>
      <c r="U13" s="108" t="n">
        <v>220</v>
      </c>
      <c r="V13" s="49" t="inlineStr">
        <is>
          <t>CONSIG. CTA AHORROS</t>
        </is>
      </c>
      <c r="W13" s="49" t="inlineStr">
        <is>
          <t xml:space="preserve">BANCO DE BOGOTÁ               </t>
        </is>
      </c>
      <c r="X13" s="49" t="inlineStr">
        <is>
          <t xml:space="preserve">406174177                </t>
        </is>
      </c>
      <c r="Y13" s="49" t="inlineStr">
        <is>
          <t xml:space="preserve">NO APLICA                     </t>
        </is>
      </c>
      <c r="Z13" s="49" t="inlineStr">
        <is>
          <t>CM0604-FIN</t>
        </is>
      </c>
      <c r="AA13" s="49" t="inlineStr">
        <is>
          <t>CM0604-FIN</t>
        </is>
      </c>
      <c r="AB13" s="49" t="inlineStr">
        <is>
          <t xml:space="preserve">01 </t>
        </is>
      </c>
      <c r="AC13" s="49" t="inlineStr">
        <is>
          <t xml:space="preserve">                </t>
        </is>
      </c>
      <c r="AD13" s="49" t="inlineStr">
        <is>
          <t>LEY 50</t>
        </is>
      </c>
      <c r="AE13" s="49" t="inlineStr">
        <is>
          <t>No</t>
        </is>
      </c>
      <c r="AF13" s="49" t="inlineStr">
        <is>
          <t>Normal</t>
        </is>
      </c>
      <c r="AG13" s="49" t="n"/>
      <c r="AH13" s="49" t="inlineStr">
        <is>
          <t>Si</t>
        </is>
      </c>
      <c r="AI13" s="49" t="inlineStr">
        <is>
          <t xml:space="preserve">Normal              </t>
        </is>
      </c>
      <c r="AJ13" s="49" t="inlineStr">
        <is>
          <t xml:space="preserve">Quincenal                     </t>
        </is>
      </c>
      <c r="AK13" s="49" t="inlineStr">
        <is>
          <t>NO</t>
        </is>
      </c>
      <c r="AL13" s="49" t="inlineStr">
        <is>
          <t>NO</t>
        </is>
      </c>
      <c r="AM13" s="49" t="inlineStr">
        <is>
          <t>02/02/2026</t>
        </is>
      </c>
      <c r="AN13" s="49" t="n"/>
      <c r="AO13" s="49" t="n"/>
      <c r="AP13" s="49" t="inlineStr">
        <is>
          <t xml:space="preserve">NO APLICA                </t>
        </is>
      </c>
      <c r="AQ13" s="49" t="n">
        <v>222</v>
      </c>
      <c r="AR13" s="49" t="inlineStr">
        <is>
          <t>01</t>
        </is>
      </c>
      <c r="AS13" s="49" t="n">
        <v>1</v>
      </c>
      <c r="AT13" s="49" t="inlineStr">
        <is>
          <t>No</t>
        </is>
      </c>
      <c r="AU13" s="49" t="n">
        <v>0</v>
      </c>
      <c r="AV13" s="108" t="n">
        <v>0</v>
      </c>
      <c r="AW13" s="108" t="n">
        <v>0</v>
      </c>
      <c r="AX13" s="108" t="n">
        <v>0</v>
      </c>
      <c r="AY13" s="49" t="inlineStr">
        <is>
          <t>No</t>
        </is>
      </c>
      <c r="AZ13" s="49" t="n">
        <v>0</v>
      </c>
      <c r="BA13" s="49" t="inlineStr">
        <is>
          <t>SURA E.P.S.</t>
        </is>
      </c>
      <c r="BB13" s="49" t="inlineStr">
        <is>
          <t>COLFONDOS  A.F.P.</t>
        </is>
      </c>
      <c r="BC13" s="49" t="inlineStr">
        <is>
          <t>CCF COMFENALCO ANTIOQUIA</t>
        </is>
      </c>
      <c r="BD13" s="49" t="inlineStr">
        <is>
          <t>RIESGOS PROFESIONALES COLMENA S.A.</t>
        </is>
      </c>
      <c r="BE13" s="49" t="inlineStr">
        <is>
          <t>COLFONDOS CESANTIAS</t>
        </is>
      </c>
      <c r="BF13" s="49" t="n">
        <v>0.522</v>
      </c>
      <c r="BG13" s="49" t="n">
        <v>220</v>
      </c>
      <c r="BH13" s="49" t="n">
        <v>15</v>
      </c>
      <c r="BI13" s="49" t="inlineStr">
        <is>
          <t xml:space="preserve">0           </t>
        </is>
      </c>
      <c r="BJ13" s="49" t="inlineStr">
        <is>
          <t xml:space="preserve">NO APLICA                               </t>
        </is>
      </c>
      <c r="BK13" s="49" t="inlineStr">
        <is>
          <t>01</t>
        </is>
      </c>
      <c r="BL13" s="49" t="inlineStr">
        <is>
          <t xml:space="preserve">Antioquia                               </t>
        </is>
      </c>
      <c r="BM13" s="49" t="inlineStr">
        <is>
          <t>04</t>
        </is>
      </c>
      <c r="BN13" s="49" t="inlineStr">
        <is>
          <t xml:space="preserve">Otros Lugares                           </t>
        </is>
      </c>
      <c r="BO13" s="49" t="inlineStr">
        <is>
          <t>0</t>
        </is>
      </c>
      <c r="BP13" s="49" t="inlineStr">
        <is>
          <t>NO APLICA</t>
        </is>
      </c>
      <c r="BQ13" s="49" t="inlineStr">
        <is>
          <t>0</t>
        </is>
      </c>
      <c r="BR13" s="49" t="inlineStr">
        <is>
          <t>NO APLICA</t>
        </is>
      </c>
      <c r="BS13" s="49" t="inlineStr">
        <is>
          <t>0</t>
        </is>
      </c>
      <c r="BT13" s="49" t="inlineStr">
        <is>
          <t>NO APLICA</t>
        </is>
      </c>
      <c r="BU13" s="49" t="inlineStr">
        <is>
          <t>0</t>
        </is>
      </c>
      <c r="BV13" s="49" t="inlineStr">
        <is>
          <t>NO APLICA</t>
        </is>
      </c>
      <c r="BW13" s="49" t="inlineStr">
        <is>
          <t>No</t>
        </is>
      </c>
      <c r="BX13" s="49" t="inlineStr">
        <is>
          <t xml:space="preserve">No Aplica                     </t>
        </is>
      </c>
    </row>
    <row r="14" ht="30" customHeight="1">
      <c r="A14" s="49" t="n">
        <v>1037614187</v>
      </c>
      <c r="B14" s="49" t="inlineStr">
        <is>
          <t>047</t>
        </is>
      </c>
      <c r="C14" s="49" t="n">
        <v>1037614187</v>
      </c>
      <c r="D14" s="49" t="inlineStr">
        <is>
          <t>CC</t>
        </is>
      </c>
      <c r="E14" s="49" t="inlineStr">
        <is>
          <t>AMAYA LOPEZ CAROLINA</t>
        </is>
      </c>
      <c r="F14" s="49" t="inlineStr">
        <is>
          <t>F</t>
        </is>
      </c>
      <c r="G14" s="49" t="inlineStr">
        <is>
          <t xml:space="preserve">A  </t>
        </is>
      </c>
      <c r="H14" s="49" t="inlineStr">
        <is>
          <t>+</t>
        </is>
      </c>
      <c r="I14" s="49" t="inlineStr">
        <is>
          <t>SOLTERO</t>
        </is>
      </c>
      <c r="J14" s="49" t="inlineStr">
        <is>
          <t xml:space="preserve">ENVIGADO                      </t>
        </is>
      </c>
      <c r="K14" s="49" t="n">
        <v>0</v>
      </c>
      <c r="L14" s="49" t="inlineStr">
        <is>
          <t>13/06/1991</t>
        </is>
      </c>
      <c r="M14" s="49" t="inlineStr">
        <is>
          <t xml:space="preserve">SUPIA                         </t>
        </is>
      </c>
      <c r="N14" s="49" t="inlineStr">
        <is>
          <t xml:space="preserve">NA                  </t>
        </is>
      </c>
      <c r="O14" s="49" t="inlineStr">
        <is>
          <t>3226404050</t>
        </is>
      </c>
      <c r="P14" s="49" t="inlineStr">
        <is>
          <t>CR 70 A 25 40 AP 502</t>
        </is>
      </c>
      <c r="Q14" s="49" t="inlineStr">
        <is>
          <t>caro.geologia@gmail.com</t>
        </is>
      </c>
      <c r="R14" s="49" t="inlineStr">
        <is>
          <t>COORDINADORA DE INFORMACION TECNICA</t>
        </is>
      </c>
      <c r="S14" s="108" t="n">
        <v>91.66666600000001</v>
      </c>
      <c r="T14" s="108" t="n">
        <v>0</v>
      </c>
      <c r="U14" s="108" t="n">
        <v>220</v>
      </c>
      <c r="V14" s="49" t="inlineStr">
        <is>
          <t>CONSIG. CTA AHORROS</t>
        </is>
      </c>
      <c r="W14" s="49" t="inlineStr">
        <is>
          <t xml:space="preserve">BANCOLOMBIA S.A.              </t>
        </is>
      </c>
      <c r="X14" s="49" t="inlineStr">
        <is>
          <t xml:space="preserve">09782883639              </t>
        </is>
      </c>
      <c r="Y14" s="49" t="inlineStr">
        <is>
          <t xml:space="preserve">NO APLICA                     </t>
        </is>
      </c>
      <c r="Z14" s="49" t="inlineStr">
        <is>
          <t>CM0100-EXP</t>
        </is>
      </c>
      <c r="AA14" s="49" t="inlineStr">
        <is>
          <t>CM0100-EXP</t>
        </is>
      </c>
      <c r="AB14" s="49" t="inlineStr">
        <is>
          <t xml:space="preserve">01 </t>
        </is>
      </c>
      <c r="AC14" s="49" t="inlineStr">
        <is>
          <t xml:space="preserve">                </t>
        </is>
      </c>
      <c r="AD14" s="49" t="inlineStr">
        <is>
          <t>LEY 50</t>
        </is>
      </c>
      <c r="AE14" s="49" t="inlineStr">
        <is>
          <t>No</t>
        </is>
      </c>
      <c r="AF14" s="49" t="inlineStr">
        <is>
          <t>Normal</t>
        </is>
      </c>
      <c r="AG14" s="49" t="n"/>
      <c r="AH14" s="49" t="inlineStr">
        <is>
          <t>Si</t>
        </is>
      </c>
      <c r="AI14" s="49" t="inlineStr">
        <is>
          <t xml:space="preserve">Normal              </t>
        </is>
      </c>
      <c r="AJ14" s="49" t="inlineStr">
        <is>
          <t xml:space="preserve">Quincenal                     </t>
        </is>
      </c>
      <c r="AK14" s="49" t="inlineStr">
        <is>
          <t>NO</t>
        </is>
      </c>
      <c r="AL14" s="49" t="inlineStr">
        <is>
          <t>NO</t>
        </is>
      </c>
      <c r="AM14" s="49" t="inlineStr">
        <is>
          <t>25/04/2023</t>
        </is>
      </c>
      <c r="AN14" s="49" t="n"/>
      <c r="AO14" s="49" t="n"/>
      <c r="AP14" s="49" t="inlineStr">
        <is>
          <t xml:space="preserve">NO APLICA                </t>
        </is>
      </c>
      <c r="AQ14" s="49" t="n">
        <v>89</v>
      </c>
      <c r="AR14" s="49" t="inlineStr">
        <is>
          <t>01</t>
        </is>
      </c>
      <c r="AS14" s="49" t="n">
        <v>1</v>
      </c>
      <c r="AT14" s="49" t="inlineStr">
        <is>
          <t>No</t>
        </is>
      </c>
      <c r="AU14" s="49" t="n">
        <v>0</v>
      </c>
      <c r="AV14" s="108" t="n">
        <v>0</v>
      </c>
      <c r="AW14" s="108" t="n">
        <v>325975</v>
      </c>
      <c r="AX14" s="108" t="n">
        <v>1</v>
      </c>
      <c r="AY14" s="49" t="inlineStr">
        <is>
          <t>No</t>
        </is>
      </c>
      <c r="AZ14" s="49" t="n">
        <v>398331</v>
      </c>
      <c r="BA14" s="49" t="inlineStr">
        <is>
          <t>SURA E.P.S.</t>
        </is>
      </c>
      <c r="BB14" s="49" t="inlineStr">
        <is>
          <t>PROTECCION A.F.P</t>
        </is>
      </c>
      <c r="BC14" s="49" t="inlineStr">
        <is>
          <t>CCF DE CALDAS</t>
        </is>
      </c>
      <c r="BD14" s="49" t="inlineStr">
        <is>
          <t>RIESGOS PROFESIONALES COLMENA S.A.</t>
        </is>
      </c>
      <c r="BE14" s="49" t="inlineStr">
        <is>
          <t>PROTECCION CESANTIAS</t>
        </is>
      </c>
      <c r="BF14" s="49" t="n">
        <v>6.96</v>
      </c>
      <c r="BG14" s="49" t="n">
        <v>220</v>
      </c>
      <c r="BH14" s="49" t="n">
        <v>15</v>
      </c>
      <c r="BI14" s="49" t="inlineStr">
        <is>
          <t xml:space="preserve">0           </t>
        </is>
      </c>
      <c r="BJ14" s="49" t="inlineStr">
        <is>
          <t xml:space="preserve">NO APLICA                               </t>
        </is>
      </c>
      <c r="BK14" s="49" t="inlineStr">
        <is>
          <t>02</t>
        </is>
      </c>
      <c r="BL14" s="49" t="inlineStr">
        <is>
          <t xml:space="preserve">Caldas                                  </t>
        </is>
      </c>
      <c r="BM14" s="49" t="inlineStr">
        <is>
          <t>02</t>
        </is>
      </c>
      <c r="BN14" s="49" t="inlineStr">
        <is>
          <t xml:space="preserve">Supia                                   </t>
        </is>
      </c>
      <c r="BO14" s="49" t="inlineStr">
        <is>
          <t>0</t>
        </is>
      </c>
      <c r="BP14" s="49" t="inlineStr">
        <is>
          <t>NO APLICA</t>
        </is>
      </c>
      <c r="BQ14" s="49" t="inlineStr">
        <is>
          <t>0</t>
        </is>
      </c>
      <c r="BR14" s="49" t="inlineStr">
        <is>
          <t>NO APLICA</t>
        </is>
      </c>
      <c r="BS14" s="49" t="inlineStr">
        <is>
          <t>0</t>
        </is>
      </c>
      <c r="BT14" s="49" t="inlineStr">
        <is>
          <t>NO APLICA</t>
        </is>
      </c>
      <c r="BU14" s="49" t="inlineStr">
        <is>
          <t>0</t>
        </is>
      </c>
      <c r="BV14" s="49" t="inlineStr">
        <is>
          <t>NO APLICA</t>
        </is>
      </c>
      <c r="BW14" s="49" t="inlineStr">
        <is>
          <t>No</t>
        </is>
      </c>
      <c r="BX14" s="49" t="inlineStr">
        <is>
          <t xml:space="preserve">No Aplica                     </t>
        </is>
      </c>
    </row>
    <row r="15" ht="22.5" customHeight="1">
      <c r="A15" s="49" t="n">
        <v>1037624001</v>
      </c>
      <c r="B15" s="49" t="inlineStr">
        <is>
          <t>108</t>
        </is>
      </c>
      <c r="C15" s="49" t="n">
        <v>1037624001</v>
      </c>
      <c r="D15" s="49" t="inlineStr">
        <is>
          <t>CC</t>
        </is>
      </c>
      <c r="E15" s="49" t="inlineStr">
        <is>
          <t>ORTIZ LOPEZ WILMAR ALEXIS</t>
        </is>
      </c>
      <c r="F15" s="49" t="inlineStr">
        <is>
          <t>M</t>
        </is>
      </c>
      <c r="G15" s="49" t="inlineStr">
        <is>
          <t xml:space="preserve">A  </t>
        </is>
      </c>
      <c r="H15" s="49" t="inlineStr">
        <is>
          <t>+</t>
        </is>
      </c>
      <c r="I15" s="49" t="inlineStr">
        <is>
          <t>CASADO</t>
        </is>
      </c>
      <c r="J15" s="49" t="inlineStr">
        <is>
          <t xml:space="preserve">ENVIGADO                      </t>
        </is>
      </c>
      <c r="K15" s="49" t="n">
        <v>0</v>
      </c>
      <c r="L15" s="49" t="inlineStr">
        <is>
          <t>28/01/1993</t>
        </is>
      </c>
      <c r="M15" s="49" t="inlineStr">
        <is>
          <t xml:space="preserve">SUPIA                         </t>
        </is>
      </c>
      <c r="N15" s="49" t="inlineStr">
        <is>
          <t xml:space="preserve">0                   </t>
        </is>
      </c>
      <c r="O15" s="49" t="inlineStr">
        <is>
          <t>3164563723</t>
        </is>
      </c>
      <c r="P15" s="49" t="inlineStr">
        <is>
          <t xml:space="preserve">CR 28 91 16 </t>
        </is>
      </c>
      <c r="Q15" s="49" t="inlineStr">
        <is>
          <t>wiaortizlo@unal.edu.co</t>
        </is>
      </c>
      <c r="R15" s="49" t="inlineStr">
        <is>
          <t>COORDINADOR LOGISTICO Y DE COMPRAS</t>
        </is>
      </c>
      <c r="S15" s="108" t="n">
        <v>91.66666600000001</v>
      </c>
      <c r="T15" s="108" t="n">
        <v>0</v>
      </c>
      <c r="U15" s="108" t="n">
        <v>220</v>
      </c>
      <c r="V15" s="49" t="inlineStr">
        <is>
          <t>CONSIG. CTA AHORROS</t>
        </is>
      </c>
      <c r="W15" s="49" t="inlineStr">
        <is>
          <t xml:space="preserve">BANCOLOMBIA S.A.              </t>
        </is>
      </c>
      <c r="X15" s="49" t="inlineStr">
        <is>
          <t xml:space="preserve">861212637                </t>
        </is>
      </c>
      <c r="Y15" s="49" t="inlineStr">
        <is>
          <t xml:space="preserve">NO APLICA                     </t>
        </is>
      </c>
      <c r="Z15" s="49" t="inlineStr">
        <is>
          <t>CM0500-LOG</t>
        </is>
      </c>
      <c r="AA15" s="49" t="inlineStr">
        <is>
          <t>CM0500-LOG</t>
        </is>
      </c>
      <c r="AB15" s="49" t="inlineStr">
        <is>
          <t xml:space="preserve">01 </t>
        </is>
      </c>
      <c r="AC15" s="49" t="inlineStr">
        <is>
          <t xml:space="preserve">                </t>
        </is>
      </c>
      <c r="AD15" s="49" t="inlineStr">
        <is>
          <t>LEY 50</t>
        </is>
      </c>
      <c r="AE15" s="49" t="inlineStr">
        <is>
          <t>No</t>
        </is>
      </c>
      <c r="AF15" s="49" t="inlineStr">
        <is>
          <t>Normal</t>
        </is>
      </c>
      <c r="AG15" s="49" t="n"/>
      <c r="AH15" s="49" t="inlineStr">
        <is>
          <t>Si</t>
        </is>
      </c>
      <c r="AI15" s="49" t="inlineStr">
        <is>
          <t xml:space="preserve">Normal              </t>
        </is>
      </c>
      <c r="AJ15" s="49" t="inlineStr">
        <is>
          <t xml:space="preserve">Quincenal                     </t>
        </is>
      </c>
      <c r="AK15" s="49" t="inlineStr">
        <is>
          <t>NO</t>
        </is>
      </c>
      <c r="AL15" s="49" t="inlineStr">
        <is>
          <t>NO</t>
        </is>
      </c>
      <c r="AM15" s="49" t="inlineStr">
        <is>
          <t>10/03/2025</t>
        </is>
      </c>
      <c r="AN15" s="49" t="n"/>
      <c r="AO15" s="49" t="n"/>
      <c r="AP15" s="49" t="inlineStr">
        <is>
          <t xml:space="preserve">NO APLICA                </t>
        </is>
      </c>
      <c r="AQ15" s="49" t="n">
        <v>168</v>
      </c>
      <c r="AR15" s="49" t="inlineStr">
        <is>
          <t>01</t>
        </is>
      </c>
      <c r="AS15" s="49" t="n">
        <v>1</v>
      </c>
      <c r="AT15" s="49" t="inlineStr">
        <is>
          <t>No</t>
        </is>
      </c>
      <c r="AU15" s="49" t="n">
        <v>0</v>
      </c>
      <c r="AV15" s="108" t="n">
        <v>0</v>
      </c>
      <c r="AW15" s="108" t="n">
        <v>0</v>
      </c>
      <c r="AX15" s="108" t="n">
        <v>0</v>
      </c>
      <c r="AY15" s="49" t="inlineStr">
        <is>
          <t>No</t>
        </is>
      </c>
      <c r="AZ15" s="49" t="n">
        <v>0</v>
      </c>
      <c r="BA15" s="49" t="inlineStr">
        <is>
          <t>SURA E.P.S.</t>
        </is>
      </c>
      <c r="BB15" s="49" t="inlineStr">
        <is>
          <t>PORVENIR A.F.P.</t>
        </is>
      </c>
      <c r="BC15" s="49" t="inlineStr">
        <is>
          <t>CCF COMFENALCO ANTIOQUIA</t>
        </is>
      </c>
      <c r="BD15" s="49" t="inlineStr">
        <is>
          <t>RIESGOS PROFESIONALES COLMENA S.A.</t>
        </is>
      </c>
      <c r="BE15" s="49" t="inlineStr">
        <is>
          <t>PORVENIR CESANTIAS</t>
        </is>
      </c>
      <c r="BF15" s="49" t="n">
        <v>6.96</v>
      </c>
      <c r="BG15" s="49" t="n">
        <v>220</v>
      </c>
      <c r="BH15" s="49" t="n">
        <v>15</v>
      </c>
      <c r="BI15" s="49" t="inlineStr">
        <is>
          <t xml:space="preserve">0           </t>
        </is>
      </c>
      <c r="BJ15" s="49" t="inlineStr">
        <is>
          <t xml:space="preserve">NO APLICA                               </t>
        </is>
      </c>
      <c r="BK15" s="49" t="inlineStr">
        <is>
          <t>02</t>
        </is>
      </c>
      <c r="BL15" s="49" t="inlineStr">
        <is>
          <t xml:space="preserve">Caldas                                  </t>
        </is>
      </c>
      <c r="BM15" s="49" t="inlineStr">
        <is>
          <t>02</t>
        </is>
      </c>
      <c r="BN15" s="49" t="inlineStr">
        <is>
          <t xml:space="preserve">Supia                                   </t>
        </is>
      </c>
      <c r="BO15" s="49" t="inlineStr">
        <is>
          <t>0</t>
        </is>
      </c>
      <c r="BP15" s="49" t="inlineStr">
        <is>
          <t>NO APLICA</t>
        </is>
      </c>
      <c r="BQ15" s="49" t="inlineStr">
        <is>
          <t>0</t>
        </is>
      </c>
      <c r="BR15" s="49" t="inlineStr">
        <is>
          <t>NO APLICA</t>
        </is>
      </c>
      <c r="BS15" s="49" t="inlineStr">
        <is>
          <t>0</t>
        </is>
      </c>
      <c r="BT15" s="49" t="inlineStr">
        <is>
          <t>NO APLICA</t>
        </is>
      </c>
      <c r="BU15" s="49" t="inlineStr">
        <is>
          <t>0</t>
        </is>
      </c>
      <c r="BV15" s="49" t="inlineStr">
        <is>
          <t>NO APLICA</t>
        </is>
      </c>
      <c r="BW15" s="49" t="inlineStr">
        <is>
          <t>No</t>
        </is>
      </c>
      <c r="BX15" s="49" t="inlineStr">
        <is>
          <t xml:space="preserve">No Aplica                     </t>
        </is>
      </c>
    </row>
    <row r="16" ht="22.5" customHeight="1">
      <c r="A16" s="49" t="n">
        <v>1039023530</v>
      </c>
      <c r="B16" s="49" t="inlineStr">
        <is>
          <t xml:space="preserve"> 138</t>
        </is>
      </c>
      <c r="C16" s="49" t="n">
        <v>1039023530</v>
      </c>
      <c r="D16" s="49" t="inlineStr">
        <is>
          <t>CC</t>
        </is>
      </c>
      <c r="E16" s="49" t="inlineStr">
        <is>
          <t>BETANCOURT TAMAYO NESTOR IVAN</t>
        </is>
      </c>
      <c r="F16" s="49" t="inlineStr">
        <is>
          <t>M</t>
        </is>
      </c>
      <c r="G16" s="49" t="inlineStr">
        <is>
          <t xml:space="preserve">A  </t>
        </is>
      </c>
      <c r="H16" s="49" t="inlineStr">
        <is>
          <t>+</t>
        </is>
      </c>
      <c r="I16" s="49" t="inlineStr">
        <is>
          <t>SOLTERO</t>
        </is>
      </c>
      <c r="J16" s="49" t="inlineStr">
        <is>
          <t xml:space="preserve">JERICO                        </t>
        </is>
      </c>
      <c r="K16" s="49" t="n">
        <v>0</v>
      </c>
      <c r="L16" s="49" t="inlineStr">
        <is>
          <t>04/08/1992</t>
        </is>
      </c>
      <c r="M16" s="49" t="inlineStr">
        <is>
          <t xml:space="preserve">SUPIA                         </t>
        </is>
      </c>
      <c r="N16" s="49" t="inlineStr">
        <is>
          <t xml:space="preserve">0000                </t>
        </is>
      </c>
      <c r="O16" s="49" t="inlineStr">
        <is>
          <t>3218657550</t>
        </is>
      </c>
      <c r="P16" s="49" t="inlineStr">
        <is>
          <t>Calle 82 # 74-161</t>
        </is>
      </c>
      <c r="Q16" s="49" t="inlineStr">
        <is>
          <t>nestor_bt@hotmail.com</t>
        </is>
      </c>
      <c r="R16" s="49" t="inlineStr">
        <is>
          <t>COORDINADOR GESTION SOCIAL</t>
        </is>
      </c>
      <c r="S16" s="108" t="n">
        <v>91.66666600000001</v>
      </c>
      <c r="T16" s="108" t="n">
        <v>0</v>
      </c>
      <c r="U16" s="108" t="n">
        <v>220</v>
      </c>
      <c r="V16" s="49" t="inlineStr">
        <is>
          <t>CONSIG. CTA AHORROS</t>
        </is>
      </c>
      <c r="W16" s="49" t="inlineStr">
        <is>
          <t xml:space="preserve">BANCOLOMBIA S.A.              </t>
        </is>
      </c>
      <c r="X16" s="49" t="inlineStr">
        <is>
          <t xml:space="preserve">43003811574              </t>
        </is>
      </c>
      <c r="Y16" s="49" t="inlineStr">
        <is>
          <t xml:space="preserve">NO APLICA                     </t>
        </is>
      </c>
      <c r="Z16" s="49" t="inlineStr">
        <is>
          <t>CM0201-ESG</t>
        </is>
      </c>
      <c r="AA16" s="49" t="inlineStr">
        <is>
          <t>CM0201-ESGSOC</t>
        </is>
      </c>
      <c r="AB16" s="49" t="inlineStr">
        <is>
          <t xml:space="preserve">01 </t>
        </is>
      </c>
      <c r="AC16" s="49" t="inlineStr">
        <is>
          <t xml:space="preserve">                </t>
        </is>
      </c>
      <c r="AD16" s="49" t="inlineStr">
        <is>
          <t>LEY 50</t>
        </is>
      </c>
      <c r="AE16" s="49" t="inlineStr">
        <is>
          <t>No</t>
        </is>
      </c>
      <c r="AF16" s="49" t="inlineStr">
        <is>
          <t>Normal</t>
        </is>
      </c>
      <c r="AG16" s="49" t="n"/>
      <c r="AH16" s="49" t="inlineStr">
        <is>
          <t>Si</t>
        </is>
      </c>
      <c r="AI16" s="49" t="inlineStr">
        <is>
          <t xml:space="preserve">Normal              </t>
        </is>
      </c>
      <c r="AJ16" s="49" t="inlineStr">
        <is>
          <t xml:space="preserve">Quincenal                     </t>
        </is>
      </c>
      <c r="AK16" s="49" t="inlineStr">
        <is>
          <t>NO</t>
        </is>
      </c>
      <c r="AL16" s="49" t="inlineStr">
        <is>
          <t>NO</t>
        </is>
      </c>
      <c r="AM16" s="49" t="inlineStr">
        <is>
          <t>17/09/2025</t>
        </is>
      </c>
      <c r="AN16" s="49" t="n"/>
      <c r="AO16" s="49" t="n"/>
      <c r="AP16" s="49" t="inlineStr">
        <is>
          <t xml:space="preserve">NO APLICA                </t>
        </is>
      </c>
      <c r="AQ16" s="49" t="n">
        <v>196</v>
      </c>
      <c r="AR16" s="49" t="inlineStr">
        <is>
          <t>01</t>
        </is>
      </c>
      <c r="AS16" s="49" t="n">
        <v>1</v>
      </c>
      <c r="AT16" s="49" t="inlineStr">
        <is>
          <t>No</t>
        </is>
      </c>
      <c r="AU16" s="49" t="n">
        <v>0</v>
      </c>
      <c r="AV16" s="108" t="n">
        <v>0</v>
      </c>
      <c r="AW16" s="108" t="n">
        <v>0</v>
      </c>
      <c r="AX16" s="108" t="n">
        <v>0</v>
      </c>
      <c r="AY16" s="49" t="inlineStr">
        <is>
          <t>No</t>
        </is>
      </c>
      <c r="AZ16" s="49" t="n">
        <v>0</v>
      </c>
      <c r="BA16" s="49" t="inlineStr">
        <is>
          <t>SURA E.P.S.</t>
        </is>
      </c>
      <c r="BB16" s="49" t="inlineStr">
        <is>
          <t>PROTECCION A.F.P</t>
        </is>
      </c>
      <c r="BC16" s="49" t="inlineStr">
        <is>
          <t>CCF COMFENALCO ANTIOQUIA</t>
        </is>
      </c>
      <c r="BD16" s="49" t="inlineStr">
        <is>
          <t>RIESGOS PROFESIONALES COLMENA S.A.</t>
        </is>
      </c>
      <c r="BE16" s="49" t="inlineStr">
        <is>
          <t>PORVENIR CESANTIAS</t>
        </is>
      </c>
      <c r="BF16" s="49" t="n">
        <v>6.96</v>
      </c>
      <c r="BG16" s="49" t="n">
        <v>220</v>
      </c>
      <c r="BH16" s="49" t="n">
        <v>15</v>
      </c>
      <c r="BI16" s="49" t="inlineStr">
        <is>
          <t xml:space="preserve">0           </t>
        </is>
      </c>
      <c r="BJ16" s="49" t="inlineStr">
        <is>
          <t xml:space="preserve">NO APLICA                               </t>
        </is>
      </c>
      <c r="BK16" s="49" t="inlineStr">
        <is>
          <t>02</t>
        </is>
      </c>
      <c r="BL16" s="49" t="inlineStr">
        <is>
          <t xml:space="preserve">Caldas                                  </t>
        </is>
      </c>
      <c r="BM16" s="49" t="inlineStr">
        <is>
          <t>02</t>
        </is>
      </c>
      <c r="BN16" s="49" t="inlineStr">
        <is>
          <t xml:space="preserve">Supia                                   </t>
        </is>
      </c>
      <c r="BO16" s="49" t="inlineStr">
        <is>
          <t>0</t>
        </is>
      </c>
      <c r="BP16" s="49" t="inlineStr">
        <is>
          <t>NO APLICA</t>
        </is>
      </c>
      <c r="BQ16" s="49" t="inlineStr">
        <is>
          <t>0</t>
        </is>
      </c>
      <c r="BR16" s="49" t="inlineStr">
        <is>
          <t>NO APLICA</t>
        </is>
      </c>
      <c r="BS16" s="49" t="inlineStr">
        <is>
          <t>0</t>
        </is>
      </c>
      <c r="BT16" s="49" t="inlineStr">
        <is>
          <t>NO APLICA</t>
        </is>
      </c>
      <c r="BU16" s="49" t="inlineStr">
        <is>
          <t>0</t>
        </is>
      </c>
      <c r="BV16" s="49" t="inlineStr">
        <is>
          <t>NO APLICA</t>
        </is>
      </c>
      <c r="BW16" s="49" t="inlineStr">
        <is>
          <t>No</t>
        </is>
      </c>
      <c r="BX16" s="49" t="inlineStr">
        <is>
          <t xml:space="preserve">No Aplica                     </t>
        </is>
      </c>
    </row>
    <row r="17" ht="22.5" customHeight="1">
      <c r="A17" s="49" t="n">
        <v>1039198133</v>
      </c>
      <c r="B17" s="49" t="inlineStr">
        <is>
          <t>074</t>
        </is>
      </c>
      <c r="C17" s="49" t="n">
        <v>1039198133</v>
      </c>
      <c r="D17" s="49" t="inlineStr">
        <is>
          <t>CC</t>
        </is>
      </c>
      <c r="E17" s="49" t="inlineStr">
        <is>
          <t>RAMIREZ OBANDO STIVEN</t>
        </is>
      </c>
      <c r="F17" s="49" t="inlineStr">
        <is>
          <t>M</t>
        </is>
      </c>
      <c r="G17" s="49" t="inlineStr">
        <is>
          <t xml:space="preserve">A  </t>
        </is>
      </c>
      <c r="H17" s="49" t="inlineStr">
        <is>
          <t>+</t>
        </is>
      </c>
      <c r="I17" s="49" t="inlineStr">
        <is>
          <t>SOLTERO</t>
        </is>
      </c>
      <c r="J17" s="49" t="inlineStr">
        <is>
          <t xml:space="preserve">CARAMANTA                     </t>
        </is>
      </c>
      <c r="K17" s="49" t="n">
        <v>0</v>
      </c>
      <c r="L17" s="49" t="inlineStr">
        <is>
          <t>07/04/2004</t>
        </is>
      </c>
      <c r="M17" s="49" t="inlineStr">
        <is>
          <t xml:space="preserve">SUPIA                         </t>
        </is>
      </c>
      <c r="N17" s="49" t="inlineStr">
        <is>
          <t xml:space="preserve">0                   </t>
        </is>
      </c>
      <c r="O17" s="49" t="inlineStr">
        <is>
          <t>3172291484</t>
        </is>
      </c>
      <c r="P17" s="49" t="inlineStr">
        <is>
          <t>VDA HOJAS ANCHAS</t>
        </is>
      </c>
      <c r="Q17" s="49" t="inlineStr">
        <is>
          <t>stivenobando790@gmail.com</t>
        </is>
      </c>
      <c r="R17" s="49" t="inlineStr">
        <is>
          <t>AUXILIAR HSE</t>
        </is>
      </c>
      <c r="S17" s="108" t="n">
        <v>91.66666600000001</v>
      </c>
      <c r="T17" s="108" t="n">
        <v>0</v>
      </c>
      <c r="U17" s="108" t="n">
        <v>220</v>
      </c>
      <c r="V17" s="49" t="inlineStr">
        <is>
          <t>CONSIG. CTA AHORROS</t>
        </is>
      </c>
      <c r="W17" s="49" t="inlineStr">
        <is>
          <t xml:space="preserve">BANCO DAVIVIENDA S.A.         </t>
        </is>
      </c>
      <c r="X17" s="49" t="inlineStr">
        <is>
          <t xml:space="preserve">488442127202             </t>
        </is>
      </c>
      <c r="Y17" s="49" t="inlineStr">
        <is>
          <t xml:space="preserve">NO APLICA                     </t>
        </is>
      </c>
      <c r="Z17" s="49" t="inlineStr">
        <is>
          <t>CM0204-ESG</t>
        </is>
      </c>
      <c r="AA17" s="49" t="inlineStr">
        <is>
          <t>CM0204-ESGHSE</t>
        </is>
      </c>
      <c r="AB17" s="49" t="inlineStr">
        <is>
          <t xml:space="preserve">01 </t>
        </is>
      </c>
      <c r="AC17" s="49" t="inlineStr">
        <is>
          <t xml:space="preserve">                </t>
        </is>
      </c>
      <c r="AD17" s="49" t="inlineStr">
        <is>
          <t>LEY 50</t>
        </is>
      </c>
      <c r="AE17" s="49" t="inlineStr">
        <is>
          <t>No</t>
        </is>
      </c>
      <c r="AF17" s="49" t="inlineStr">
        <is>
          <t>Normal</t>
        </is>
      </c>
      <c r="AG17" s="49" t="n"/>
      <c r="AH17" s="49" t="inlineStr">
        <is>
          <t>Si</t>
        </is>
      </c>
      <c r="AI17" s="49" t="inlineStr">
        <is>
          <t xml:space="preserve">Normal              </t>
        </is>
      </c>
      <c r="AJ17" s="49" t="inlineStr">
        <is>
          <t xml:space="preserve">Quincenal                     </t>
        </is>
      </c>
      <c r="AK17" s="49" t="inlineStr">
        <is>
          <t>NO</t>
        </is>
      </c>
      <c r="AL17" s="49" t="inlineStr">
        <is>
          <t>NO</t>
        </is>
      </c>
      <c r="AM17" s="49" t="inlineStr">
        <is>
          <t>02/05/2024</t>
        </is>
      </c>
      <c r="AN17" s="49" t="n"/>
      <c r="AO17" s="49" t="n"/>
      <c r="AP17" s="49" t="inlineStr">
        <is>
          <t xml:space="preserve">NO APLICA                </t>
        </is>
      </c>
      <c r="AQ17" s="49" t="n">
        <v>128</v>
      </c>
      <c r="AR17" s="49" t="inlineStr">
        <is>
          <t>01</t>
        </is>
      </c>
      <c r="AS17" s="49" t="n">
        <v>1</v>
      </c>
      <c r="AT17" s="49" t="inlineStr">
        <is>
          <t>No</t>
        </is>
      </c>
      <c r="AU17" s="49" t="n">
        <v>0</v>
      </c>
      <c r="AV17" s="108" t="n">
        <v>0</v>
      </c>
      <c r="AW17" s="108" t="n">
        <v>0</v>
      </c>
      <c r="AX17" s="108" t="n">
        <v>0</v>
      </c>
      <c r="AY17" s="49" t="inlineStr">
        <is>
          <t>No</t>
        </is>
      </c>
      <c r="AZ17" s="49" t="n">
        <v>66765</v>
      </c>
      <c r="BA17" s="49" t="inlineStr">
        <is>
          <t>SALUD TOTAL E.P.S.</t>
        </is>
      </c>
      <c r="BB17" s="49" t="inlineStr">
        <is>
          <t>PROTECCION A.F.P</t>
        </is>
      </c>
      <c r="BC17" s="49" t="inlineStr">
        <is>
          <t>CCF DE CALDAS</t>
        </is>
      </c>
      <c r="BD17" s="49" t="inlineStr">
        <is>
          <t>RIESGOS PROFESIONALES COLMENA S.A.</t>
        </is>
      </c>
      <c r="BE17" s="49" t="inlineStr">
        <is>
          <t>PORVENIR CESANTIAS</t>
        </is>
      </c>
      <c r="BF17" s="49" t="n">
        <v>6.96</v>
      </c>
      <c r="BG17" s="49" t="n">
        <v>220</v>
      </c>
      <c r="BH17" s="49" t="n">
        <v>15</v>
      </c>
      <c r="BI17" s="49" t="inlineStr">
        <is>
          <t xml:space="preserve">0           </t>
        </is>
      </c>
      <c r="BJ17" s="49" t="inlineStr">
        <is>
          <t xml:space="preserve">NO APLICA                               </t>
        </is>
      </c>
      <c r="BK17" s="49" t="inlineStr">
        <is>
          <t>02</t>
        </is>
      </c>
      <c r="BL17" s="49" t="inlineStr">
        <is>
          <t xml:space="preserve">Caldas                                  </t>
        </is>
      </c>
      <c r="BM17" s="49" t="inlineStr">
        <is>
          <t>02</t>
        </is>
      </c>
      <c r="BN17" s="49" t="inlineStr">
        <is>
          <t xml:space="preserve">Supia                                   </t>
        </is>
      </c>
      <c r="BO17" s="49" t="inlineStr">
        <is>
          <t>0</t>
        </is>
      </c>
      <c r="BP17" s="49" t="inlineStr">
        <is>
          <t>NO APLICA</t>
        </is>
      </c>
      <c r="BQ17" s="49" t="inlineStr">
        <is>
          <t>0</t>
        </is>
      </c>
      <c r="BR17" s="49" t="inlineStr">
        <is>
          <t>NO APLICA</t>
        </is>
      </c>
      <c r="BS17" s="49" t="inlineStr">
        <is>
          <t>0</t>
        </is>
      </c>
      <c r="BT17" s="49" t="inlineStr">
        <is>
          <t>NO APLICA</t>
        </is>
      </c>
      <c r="BU17" s="49" t="inlineStr">
        <is>
          <t>0</t>
        </is>
      </c>
      <c r="BV17" s="49" t="inlineStr">
        <is>
          <t>NO APLICA</t>
        </is>
      </c>
      <c r="BW17" s="49" t="inlineStr">
        <is>
          <t>No</t>
        </is>
      </c>
      <c r="BX17" s="49" t="inlineStr">
        <is>
          <t xml:space="preserve">No Aplica                     </t>
        </is>
      </c>
    </row>
    <row r="18" ht="30" customHeight="1">
      <c r="A18" s="49" t="n">
        <v>1039462457</v>
      </c>
      <c r="B18" s="49" t="inlineStr">
        <is>
          <t>009</t>
        </is>
      </c>
      <c r="C18" s="49" t="n">
        <v>1039462457</v>
      </c>
      <c r="D18" s="49" t="inlineStr">
        <is>
          <t>CC</t>
        </is>
      </c>
      <c r="E18" s="49" t="inlineStr">
        <is>
          <t>RAMIREZ ORTIZ DANIELA</t>
        </is>
      </c>
      <c r="F18" s="49" t="inlineStr">
        <is>
          <t>F</t>
        </is>
      </c>
      <c r="G18" s="49" t="inlineStr">
        <is>
          <t xml:space="preserve">O  </t>
        </is>
      </c>
      <c r="H18" s="49" t="inlineStr">
        <is>
          <t>+</t>
        </is>
      </c>
      <c r="I18" s="49" t="inlineStr">
        <is>
          <t>SOLTERO</t>
        </is>
      </c>
      <c r="J18" s="49" t="inlineStr">
        <is>
          <t xml:space="preserve">ITAGUI                        </t>
        </is>
      </c>
      <c r="K18" s="49" t="n">
        <v>0</v>
      </c>
      <c r="L18" s="49" t="inlineStr">
        <is>
          <t>16/07/1994</t>
        </is>
      </c>
      <c r="M18" s="49" t="inlineStr">
        <is>
          <t xml:space="preserve">MEDELLÍN                      </t>
        </is>
      </c>
      <c r="N18" s="49" t="inlineStr">
        <is>
          <t xml:space="preserve">3016635956          </t>
        </is>
      </c>
      <c r="O18" s="49" t="inlineStr">
        <is>
          <t>3016635956</t>
        </is>
      </c>
      <c r="P18" s="49" t="inlineStr">
        <is>
          <t>SABANETA</t>
        </is>
      </c>
      <c r="Q18" s="49" t="inlineStr">
        <is>
          <t>d.ramirez@collectivemining.com</t>
        </is>
      </c>
      <c r="R18" s="49" t="inlineStr">
        <is>
          <t>COORDINADORA DE COMUNICACIONES</t>
        </is>
      </c>
      <c r="S18" s="108" t="n">
        <v>91.66666600000001</v>
      </c>
      <c r="T18" s="108" t="n">
        <v>0</v>
      </c>
      <c r="U18" s="108" t="n">
        <v>220</v>
      </c>
      <c r="V18" s="49" t="inlineStr">
        <is>
          <t>CONSIG. CTA AHORROS</t>
        </is>
      </c>
      <c r="W18" s="49" t="inlineStr">
        <is>
          <t xml:space="preserve">BANCOLOMBIA S.A.              </t>
        </is>
      </c>
      <c r="X18" s="49" t="inlineStr">
        <is>
          <t xml:space="preserve">33361608203              </t>
        </is>
      </c>
      <c r="Y18" s="49" t="inlineStr">
        <is>
          <t xml:space="preserve">NO APLICA                     </t>
        </is>
      </c>
      <c r="Z18" s="49" t="inlineStr">
        <is>
          <t>CM0602-XAC</t>
        </is>
      </c>
      <c r="AA18" s="49" t="inlineStr">
        <is>
          <t>CM0602-XAC</t>
        </is>
      </c>
      <c r="AB18" s="49" t="inlineStr">
        <is>
          <t xml:space="preserve">01 </t>
        </is>
      </c>
      <c r="AC18" s="49" t="inlineStr">
        <is>
          <t xml:space="preserve">0               </t>
        </is>
      </c>
      <c r="AD18" s="49" t="inlineStr">
        <is>
          <t>LEY 50</t>
        </is>
      </c>
      <c r="AE18" s="49" t="inlineStr">
        <is>
          <t>No</t>
        </is>
      </c>
      <c r="AF18" s="49" t="inlineStr">
        <is>
          <t>Normal</t>
        </is>
      </c>
      <c r="AG18" s="49" t="n"/>
      <c r="AH18" s="49" t="inlineStr">
        <is>
          <t>Si</t>
        </is>
      </c>
      <c r="AI18" s="49" t="inlineStr">
        <is>
          <t xml:space="preserve">Normal              </t>
        </is>
      </c>
      <c r="AJ18" s="49" t="inlineStr">
        <is>
          <t xml:space="preserve">Quincenal                     </t>
        </is>
      </c>
      <c r="AK18" s="49" t="inlineStr">
        <is>
          <t>NO</t>
        </is>
      </c>
      <c r="AL18" s="49" t="inlineStr">
        <is>
          <t>NO</t>
        </is>
      </c>
      <c r="AM18" s="49" t="inlineStr">
        <is>
          <t>16/12/2020</t>
        </is>
      </c>
      <c r="AN18" s="49" t="n"/>
      <c r="AO18" s="49" t="n"/>
      <c r="AP18" s="49" t="inlineStr">
        <is>
          <t xml:space="preserve">NO APLICA                </t>
        </is>
      </c>
      <c r="AQ18" s="49" t="n">
        <v>48</v>
      </c>
      <c r="AR18" s="49" t="inlineStr">
        <is>
          <t>01</t>
        </is>
      </c>
      <c r="AS18" s="49" t="n">
        <v>1</v>
      </c>
      <c r="AT18" s="49" t="inlineStr">
        <is>
          <t>No</t>
        </is>
      </c>
      <c r="AU18" s="49" t="n">
        <v>0</v>
      </c>
      <c r="AV18" s="108" t="n">
        <v>0</v>
      </c>
      <c r="AW18" s="108" t="n">
        <v>2120167</v>
      </c>
      <c r="AX18" s="108" t="n">
        <v>0</v>
      </c>
      <c r="AY18" s="49" t="inlineStr">
        <is>
          <t>No</t>
        </is>
      </c>
      <c r="AZ18" s="49" t="n">
        <v>260673</v>
      </c>
      <c r="BA18" s="49" t="inlineStr">
        <is>
          <t>SURA E.P.S.</t>
        </is>
      </c>
      <c r="BB18" s="49" t="inlineStr">
        <is>
          <t>PORVENIR A.F.P.</t>
        </is>
      </c>
      <c r="BC18" s="49" t="inlineStr">
        <is>
          <t>CCF COMFENALCO ANTIOQUIA</t>
        </is>
      </c>
      <c r="BD18" s="49" t="inlineStr">
        <is>
          <t>RIESGOS PROFESIONALES COLMENA S.A.</t>
        </is>
      </c>
      <c r="BE18" s="49" t="inlineStr">
        <is>
          <t>PORVENIR CESANTIAS</t>
        </is>
      </c>
      <c r="BF18" s="49" t="n">
        <v>0.522</v>
      </c>
      <c r="BG18" s="49" t="n">
        <v>220</v>
      </c>
      <c r="BH18" s="49" t="n">
        <v>15</v>
      </c>
      <c r="BI18" s="49" t="inlineStr">
        <is>
          <t xml:space="preserve">0           </t>
        </is>
      </c>
      <c r="BJ18" s="49" t="inlineStr">
        <is>
          <t xml:space="preserve">NO APLICA                               </t>
        </is>
      </c>
      <c r="BK18" s="49" t="inlineStr">
        <is>
          <t>01</t>
        </is>
      </c>
      <c r="BL18" s="49" t="inlineStr">
        <is>
          <t xml:space="preserve">Antioquia                               </t>
        </is>
      </c>
      <c r="BM18" s="49" t="inlineStr">
        <is>
          <t>04</t>
        </is>
      </c>
      <c r="BN18" s="49" t="inlineStr">
        <is>
          <t xml:space="preserve">Otros Lugares                           </t>
        </is>
      </c>
      <c r="BO18" s="49" t="inlineStr">
        <is>
          <t>0</t>
        </is>
      </c>
      <c r="BP18" s="49" t="inlineStr">
        <is>
          <t>NO APLICA</t>
        </is>
      </c>
      <c r="BQ18" s="49" t="inlineStr">
        <is>
          <t>0</t>
        </is>
      </c>
      <c r="BR18" s="49" t="inlineStr">
        <is>
          <t>NO APLICA</t>
        </is>
      </c>
      <c r="BS18" s="49" t="inlineStr">
        <is>
          <t>0</t>
        </is>
      </c>
      <c r="BT18" s="49" t="inlineStr">
        <is>
          <t>NO APLICA</t>
        </is>
      </c>
      <c r="BU18" s="49" t="inlineStr">
        <is>
          <t>0</t>
        </is>
      </c>
      <c r="BV18" s="49" t="inlineStr">
        <is>
          <t>NO APLICA</t>
        </is>
      </c>
      <c r="BW18" s="49" t="inlineStr">
        <is>
          <t>No</t>
        </is>
      </c>
      <c r="BX18" s="49" t="inlineStr">
        <is>
          <t xml:space="preserve">No Aplica                     </t>
        </is>
      </c>
    </row>
    <row r="19" ht="15" customHeight="1">
      <c r="A19" s="49" t="n">
        <v>1045046238</v>
      </c>
      <c r="B19" s="49" t="inlineStr">
        <is>
          <t>117</t>
        </is>
      </c>
      <c r="C19" s="49" t="n">
        <v>1045046238</v>
      </c>
      <c r="D19" s="49" t="inlineStr">
        <is>
          <t>CC</t>
        </is>
      </c>
      <c r="E19" s="49" t="inlineStr">
        <is>
          <t>OSPINA ECHEVERRY ANGELA YULIETH</t>
        </is>
      </c>
      <c r="F19" s="49" t="inlineStr">
        <is>
          <t>F</t>
        </is>
      </c>
      <c r="G19" s="49" t="inlineStr">
        <is>
          <t xml:space="preserve">A  </t>
        </is>
      </c>
      <c r="H19" s="49" t="inlineStr">
        <is>
          <t>+</t>
        </is>
      </c>
      <c r="I19" s="49" t="inlineStr">
        <is>
          <t>SOLTERO</t>
        </is>
      </c>
      <c r="J19" s="49" t="inlineStr">
        <is>
          <t xml:space="preserve">SUPIA                         </t>
        </is>
      </c>
      <c r="K19" s="49" t="n">
        <v>0</v>
      </c>
      <c r="L19" s="49" t="inlineStr">
        <is>
          <t>16/07/1986</t>
        </is>
      </c>
      <c r="M19" s="49" t="inlineStr">
        <is>
          <t xml:space="preserve">SUPIA                         </t>
        </is>
      </c>
      <c r="N19" s="49" t="inlineStr">
        <is>
          <t xml:space="preserve">0                   </t>
        </is>
      </c>
      <c r="O19" s="49" t="inlineStr">
        <is>
          <t>3246621628</t>
        </is>
      </c>
      <c r="P19" s="49" t="inlineStr">
        <is>
          <t>CR  8 29 00</t>
        </is>
      </c>
      <c r="Q19" s="49" t="inlineStr">
        <is>
          <t>angelaj2686@gmail.com</t>
        </is>
      </c>
      <c r="R19" s="49" t="inlineStr">
        <is>
          <t>AUXILIAR DE EXPLORACIÓN</t>
        </is>
      </c>
      <c r="S19" s="108" t="n">
        <v>91.66666600000001</v>
      </c>
      <c r="T19" s="108" t="n">
        <v>0</v>
      </c>
      <c r="U19" s="108" t="n">
        <v>220</v>
      </c>
      <c r="V19" s="49" t="inlineStr">
        <is>
          <t>CONSIG. CTA AHORROS</t>
        </is>
      </c>
      <c r="W19" s="49" t="inlineStr">
        <is>
          <t xml:space="preserve">BANCOLOMBIA S.A.              </t>
        </is>
      </c>
      <c r="X19" s="49" t="inlineStr">
        <is>
          <t xml:space="preserve">36841900213              </t>
        </is>
      </c>
      <c r="Y19" s="49" t="inlineStr">
        <is>
          <t xml:space="preserve">NO APLICA                     </t>
        </is>
      </c>
      <c r="Z19" s="49" t="inlineStr">
        <is>
          <t>CM0100-EXP</t>
        </is>
      </c>
      <c r="AA19" s="49" t="inlineStr">
        <is>
          <t>CM0100-EXP</t>
        </is>
      </c>
      <c r="AB19" s="49" t="inlineStr">
        <is>
          <t xml:space="preserve">01 </t>
        </is>
      </c>
      <c r="AC19" s="49" t="inlineStr">
        <is>
          <t xml:space="preserve">                </t>
        </is>
      </c>
      <c r="AD19" s="49" t="inlineStr">
        <is>
          <t>LEY 50</t>
        </is>
      </c>
      <c r="AE19" s="49" t="inlineStr">
        <is>
          <t>No</t>
        </is>
      </c>
      <c r="AF19" s="49" t="inlineStr">
        <is>
          <t>Normal</t>
        </is>
      </c>
      <c r="AG19" s="49" t="n"/>
      <c r="AH19" s="49" t="inlineStr">
        <is>
          <t>Si</t>
        </is>
      </c>
      <c r="AI19" s="49" t="inlineStr">
        <is>
          <t xml:space="preserve">Normal              </t>
        </is>
      </c>
      <c r="AJ19" s="49" t="inlineStr">
        <is>
          <t xml:space="preserve">Quincenal                     </t>
        </is>
      </c>
      <c r="AK19" s="49" t="inlineStr">
        <is>
          <t>NO</t>
        </is>
      </c>
      <c r="AL19" s="49" t="inlineStr">
        <is>
          <t>NO</t>
        </is>
      </c>
      <c r="AM19" s="49" t="inlineStr">
        <is>
          <t>26/05/2025</t>
        </is>
      </c>
      <c r="AN19" s="49" t="n"/>
      <c r="AO19" s="49" t="n"/>
      <c r="AP19" s="49" t="inlineStr">
        <is>
          <t xml:space="preserve">NO APLICA                </t>
        </is>
      </c>
      <c r="AQ19" s="49" t="n">
        <v>176</v>
      </c>
      <c r="AR19" s="49" t="inlineStr">
        <is>
          <t>01</t>
        </is>
      </c>
      <c r="AS19" s="49" t="n">
        <v>1</v>
      </c>
      <c r="AT19" s="49" t="inlineStr">
        <is>
          <t>No</t>
        </is>
      </c>
      <c r="AU19" s="49" t="n">
        <v>0</v>
      </c>
      <c r="AV19" s="108" t="n">
        <v>0</v>
      </c>
      <c r="AW19" s="108" t="n">
        <v>0</v>
      </c>
      <c r="AX19" s="108" t="n">
        <v>0</v>
      </c>
      <c r="AY19" s="49" t="inlineStr">
        <is>
          <t>No</t>
        </is>
      </c>
      <c r="AZ19" s="49" t="n">
        <v>0</v>
      </c>
      <c r="BA19" s="49" t="inlineStr">
        <is>
          <t>NUEVA E.P.S</t>
        </is>
      </c>
      <c r="BB19" s="49" t="inlineStr">
        <is>
          <t>COLPENSIONES - I.S.S. PENSION</t>
        </is>
      </c>
      <c r="BC19" s="49" t="inlineStr">
        <is>
          <t>CCF DE CALDAS</t>
        </is>
      </c>
      <c r="BD19" s="49" t="inlineStr">
        <is>
          <t>RIESGOS PROFESIONALES COLMENA S.A.</t>
        </is>
      </c>
      <c r="BE19" s="49" t="inlineStr">
        <is>
          <t>PORVENIR CESANTIAS</t>
        </is>
      </c>
      <c r="BF19" s="49" t="n">
        <v>6.96</v>
      </c>
      <c r="BG19" s="49" t="n">
        <v>220</v>
      </c>
      <c r="BH19" s="49" t="n">
        <v>15</v>
      </c>
      <c r="BI19" s="49" t="inlineStr">
        <is>
          <t xml:space="preserve">0           </t>
        </is>
      </c>
      <c r="BJ19" s="49" t="inlineStr">
        <is>
          <t xml:space="preserve">NO APLICA                               </t>
        </is>
      </c>
      <c r="BK19" s="49" t="inlineStr">
        <is>
          <t>02</t>
        </is>
      </c>
      <c r="BL19" s="49" t="inlineStr">
        <is>
          <t xml:space="preserve">Caldas                                  </t>
        </is>
      </c>
      <c r="BM19" s="49" t="inlineStr">
        <is>
          <t>02</t>
        </is>
      </c>
      <c r="BN19" s="49" t="inlineStr">
        <is>
          <t xml:space="preserve">Supia                                   </t>
        </is>
      </c>
      <c r="BO19" s="49" t="inlineStr">
        <is>
          <t>0</t>
        </is>
      </c>
      <c r="BP19" s="49" t="inlineStr">
        <is>
          <t>NO APLICA</t>
        </is>
      </c>
      <c r="BQ19" s="49" t="inlineStr">
        <is>
          <t>0</t>
        </is>
      </c>
      <c r="BR19" s="49" t="inlineStr">
        <is>
          <t>NO APLICA</t>
        </is>
      </c>
      <c r="BS19" s="49" t="inlineStr">
        <is>
          <t>0</t>
        </is>
      </c>
      <c r="BT19" s="49" t="inlineStr">
        <is>
          <t>NO APLICA</t>
        </is>
      </c>
      <c r="BU19" s="49" t="inlineStr">
        <is>
          <t>0</t>
        </is>
      </c>
      <c r="BV19" s="49" t="inlineStr">
        <is>
          <t>NO APLICA</t>
        </is>
      </c>
      <c r="BW19" s="49" t="inlineStr">
        <is>
          <t>No</t>
        </is>
      </c>
      <c r="BX19" s="49" t="inlineStr">
        <is>
          <t xml:space="preserve">No Aplica                     </t>
        </is>
      </c>
    </row>
    <row r="20" ht="22.5" customHeight="1">
      <c r="A20" s="49" t="n">
        <v>1053764443</v>
      </c>
      <c r="B20" s="49" t="inlineStr">
        <is>
          <t xml:space="preserve"> 150</t>
        </is>
      </c>
      <c r="C20" s="49" t="n">
        <v>1053764443</v>
      </c>
      <c r="D20" s="49" t="inlineStr">
        <is>
          <t>CC</t>
        </is>
      </c>
      <c r="E20" s="49" t="inlineStr">
        <is>
          <t>LOMBANA GOMEZ VALENTINA</t>
        </is>
      </c>
      <c r="F20" s="49" t="inlineStr">
        <is>
          <t>F</t>
        </is>
      </c>
      <c r="G20" s="49" t="inlineStr">
        <is>
          <t xml:space="preserve">A  </t>
        </is>
      </c>
      <c r="H20" s="49" t="inlineStr">
        <is>
          <t>+</t>
        </is>
      </c>
      <c r="I20" s="49" t="inlineStr">
        <is>
          <t>CASADO</t>
        </is>
      </c>
      <c r="J20" s="49" t="inlineStr">
        <is>
          <t xml:space="preserve">MANIZALES                     </t>
        </is>
      </c>
      <c r="K20" s="49" t="n">
        <v>0</v>
      </c>
      <c r="L20" s="49" t="inlineStr">
        <is>
          <t>22/02/1986</t>
        </is>
      </c>
      <c r="M20" s="49" t="inlineStr">
        <is>
          <t xml:space="preserve">MANIZALES                     </t>
        </is>
      </c>
      <c r="N20" s="49" t="inlineStr">
        <is>
          <t xml:space="preserve">0000                </t>
        </is>
      </c>
      <c r="O20" s="49" t="inlineStr">
        <is>
          <t>3212736156</t>
        </is>
      </c>
      <c r="P20" s="49" t="inlineStr">
        <is>
          <t>CR 1  43 15 CS 20</t>
        </is>
      </c>
      <c r="Q20" s="49" t="inlineStr">
        <is>
          <t>valen10lombana@gmail.com</t>
        </is>
      </c>
      <c r="R20" s="49" t="inlineStr">
        <is>
          <t>JEFE DE ASUNTOS EXTERNOS</t>
        </is>
      </c>
      <c r="S20" s="108" t="n">
        <v>91.66666600000001</v>
      </c>
      <c r="T20" s="108" t="n">
        <v>0</v>
      </c>
      <c r="U20" s="108" t="n">
        <v>220</v>
      </c>
      <c r="V20" s="49" t="inlineStr">
        <is>
          <t>CONSIG. CTA AHORROS</t>
        </is>
      </c>
      <c r="W20" s="49" t="inlineStr">
        <is>
          <t xml:space="preserve">BANCOLOMBIA S.A.              </t>
        </is>
      </c>
      <c r="X20" s="49" t="inlineStr">
        <is>
          <t xml:space="preserve">37352517713              </t>
        </is>
      </c>
      <c r="Y20" s="49" t="inlineStr">
        <is>
          <t xml:space="preserve">NO APLICA                     </t>
        </is>
      </c>
      <c r="Z20" s="49" t="inlineStr">
        <is>
          <t>CM0602-XAC</t>
        </is>
      </c>
      <c r="AA20" s="49" t="inlineStr">
        <is>
          <t>CM0602-XAC</t>
        </is>
      </c>
      <c r="AB20" s="49" t="inlineStr">
        <is>
          <t xml:space="preserve">01 </t>
        </is>
      </c>
      <c r="AC20" s="49" t="inlineStr">
        <is>
          <t xml:space="preserve">                </t>
        </is>
      </c>
      <c r="AD20" s="49" t="inlineStr">
        <is>
          <t>LEY 50</t>
        </is>
      </c>
      <c r="AE20" s="49" t="inlineStr">
        <is>
          <t>No</t>
        </is>
      </c>
      <c r="AF20" s="49" t="inlineStr">
        <is>
          <t>Normal</t>
        </is>
      </c>
      <c r="AG20" s="49" t="n"/>
      <c r="AH20" s="49" t="inlineStr">
        <is>
          <t>Si</t>
        </is>
      </c>
      <c r="AI20" s="49" t="inlineStr">
        <is>
          <t xml:space="preserve">Normal              </t>
        </is>
      </c>
      <c r="AJ20" s="49" t="inlineStr">
        <is>
          <t xml:space="preserve">Quincenal                     </t>
        </is>
      </c>
      <c r="AK20" s="49" t="inlineStr">
        <is>
          <t>NO</t>
        </is>
      </c>
      <c r="AL20" s="49" t="inlineStr">
        <is>
          <t>NO</t>
        </is>
      </c>
      <c r="AM20" s="49" t="inlineStr">
        <is>
          <t>02/12/2025</t>
        </is>
      </c>
      <c r="AN20" s="49" t="n"/>
      <c r="AO20" s="49" t="n"/>
      <c r="AP20" s="49" t="inlineStr">
        <is>
          <t xml:space="preserve">NO APLICA                </t>
        </is>
      </c>
      <c r="AQ20" s="49" t="n">
        <v>211</v>
      </c>
      <c r="AR20" s="49" t="inlineStr">
        <is>
          <t>01</t>
        </is>
      </c>
      <c r="AS20" s="49" t="n">
        <v>1</v>
      </c>
      <c r="AT20" s="49" t="inlineStr">
        <is>
          <t>No</t>
        </is>
      </c>
      <c r="AU20" s="49" t="n">
        <v>0</v>
      </c>
      <c r="AV20" s="108" t="n">
        <v>0</v>
      </c>
      <c r="AW20" s="108" t="n">
        <v>0</v>
      </c>
      <c r="AX20" s="108" t="n">
        <v>0</v>
      </c>
      <c r="AY20" s="49" t="inlineStr">
        <is>
          <t>No</t>
        </is>
      </c>
      <c r="AZ20" s="49" t="n">
        <v>0</v>
      </c>
      <c r="BA20" s="49" t="inlineStr">
        <is>
          <t>SURA E.P.S.</t>
        </is>
      </c>
      <c r="BB20" s="49" t="inlineStr">
        <is>
          <t>COLPENSIONES - I.S.S. PENSION</t>
        </is>
      </c>
      <c r="BC20" s="49" t="inlineStr">
        <is>
          <t>CCF DE CALDAS</t>
        </is>
      </c>
      <c r="BD20" s="49" t="inlineStr">
        <is>
          <t>RIESGOS PROFESIONALES COLMENA S.A.</t>
        </is>
      </c>
      <c r="BE20" s="49" t="inlineStr">
        <is>
          <t>PROTECCION CESANTIAS</t>
        </is>
      </c>
      <c r="BF20" s="49" t="n">
        <v>0.522</v>
      </c>
      <c r="BG20" s="49" t="n">
        <v>220</v>
      </c>
      <c r="BH20" s="49" t="n">
        <v>15</v>
      </c>
      <c r="BI20" s="49" t="inlineStr">
        <is>
          <t xml:space="preserve">0           </t>
        </is>
      </c>
      <c r="BJ20" s="49" t="inlineStr">
        <is>
          <t xml:space="preserve">NO APLICA                               </t>
        </is>
      </c>
      <c r="BK20" s="49" t="inlineStr">
        <is>
          <t>02</t>
        </is>
      </c>
      <c r="BL20" s="49" t="inlineStr">
        <is>
          <t xml:space="preserve">Caldas                                  </t>
        </is>
      </c>
      <c r="BM20" s="49" t="inlineStr">
        <is>
          <t>04</t>
        </is>
      </c>
      <c r="BN20" s="49" t="inlineStr">
        <is>
          <t xml:space="preserve">Otros Lugares                           </t>
        </is>
      </c>
      <c r="BO20" s="49" t="inlineStr">
        <is>
          <t>0</t>
        </is>
      </c>
      <c r="BP20" s="49" t="inlineStr">
        <is>
          <t>NO APLICA</t>
        </is>
      </c>
      <c r="BQ20" s="49" t="inlineStr">
        <is>
          <t>0</t>
        </is>
      </c>
      <c r="BR20" s="49" t="inlineStr">
        <is>
          <t>NO APLICA</t>
        </is>
      </c>
      <c r="BS20" s="49" t="inlineStr">
        <is>
          <t>0</t>
        </is>
      </c>
      <c r="BT20" s="49" t="inlineStr">
        <is>
          <t>NO APLICA</t>
        </is>
      </c>
      <c r="BU20" s="49" t="inlineStr">
        <is>
          <t>0</t>
        </is>
      </c>
      <c r="BV20" s="49" t="inlineStr">
        <is>
          <t>NO APLICA</t>
        </is>
      </c>
      <c r="BW20" s="49" t="inlineStr">
        <is>
          <t>No</t>
        </is>
      </c>
      <c r="BX20" s="49" t="inlineStr">
        <is>
          <t xml:space="preserve">No Aplica                     </t>
        </is>
      </c>
    </row>
    <row r="21" ht="22.5" customHeight="1">
      <c r="A21" s="49" t="n">
        <v>1053765183</v>
      </c>
      <c r="B21" s="49" t="inlineStr">
        <is>
          <t>064</t>
        </is>
      </c>
      <c r="C21" s="49" t="n">
        <v>1053765183</v>
      </c>
      <c r="D21" s="49" t="inlineStr">
        <is>
          <t>CC</t>
        </is>
      </c>
      <c r="E21" s="49" t="inlineStr">
        <is>
          <t>VARGAS GONZALEZ NATALIA</t>
        </is>
      </c>
      <c r="F21" s="49" t="inlineStr">
        <is>
          <t>F</t>
        </is>
      </c>
      <c r="G21" s="49" t="inlineStr">
        <is>
          <t xml:space="preserve">B  </t>
        </is>
      </c>
      <c r="H21" s="49" t="inlineStr">
        <is>
          <t>+</t>
        </is>
      </c>
      <c r="I21" s="49" t="inlineStr">
        <is>
          <t>CASADO</t>
        </is>
      </c>
      <c r="J21" s="49" t="inlineStr">
        <is>
          <t xml:space="preserve">MANIZALES                     </t>
        </is>
      </c>
      <c r="K21" s="49" t="n">
        <v>0</v>
      </c>
      <c r="L21" s="49" t="inlineStr">
        <is>
          <t>28/03/1986</t>
        </is>
      </c>
      <c r="M21" s="49" t="inlineStr">
        <is>
          <t xml:space="preserve">SUPIA                         </t>
        </is>
      </c>
      <c r="N21" s="49" t="inlineStr">
        <is>
          <t xml:space="preserve">NA                  </t>
        </is>
      </c>
      <c r="O21" s="49" t="inlineStr">
        <is>
          <t>3113327931</t>
        </is>
      </c>
      <c r="P21" s="49" t="inlineStr">
        <is>
          <t xml:space="preserve">CR 1b CL 9 B19 BLOQUE 2A Apto 204 </t>
        </is>
      </c>
      <c r="Q21" s="49" t="inlineStr">
        <is>
          <t>naty.vargas86@gmail.com</t>
        </is>
      </c>
      <c r="R21" s="49" t="inlineStr">
        <is>
          <t>PLANNER DE EXPLORACIÓN</t>
        </is>
      </c>
      <c r="S21" s="108" t="n">
        <v>91.66666600000001</v>
      </c>
      <c r="T21" s="108" t="n">
        <v>0</v>
      </c>
      <c r="U21" s="108" t="n">
        <v>220</v>
      </c>
      <c r="V21" s="49" t="inlineStr">
        <is>
          <t>CONSIG. CTA AHORROS</t>
        </is>
      </c>
      <c r="W21" s="49" t="inlineStr">
        <is>
          <t xml:space="preserve">BANCO DAVIVIENDA S.A.         </t>
        </is>
      </c>
      <c r="X21" s="49" t="inlineStr">
        <is>
          <t xml:space="preserve">0550488449738282         </t>
        </is>
      </c>
      <c r="Y21" s="49" t="inlineStr">
        <is>
          <t xml:space="preserve">NO APLICA                     </t>
        </is>
      </c>
      <c r="Z21" s="49" t="inlineStr">
        <is>
          <t>CM0100-EXP</t>
        </is>
      </c>
      <c r="AA21" s="49" t="inlineStr">
        <is>
          <t>CM0100-EXP</t>
        </is>
      </c>
      <c r="AB21" s="49" t="inlineStr">
        <is>
          <t xml:space="preserve">01 </t>
        </is>
      </c>
      <c r="AC21" s="49" t="inlineStr">
        <is>
          <t xml:space="preserve">                </t>
        </is>
      </c>
      <c r="AD21" s="49" t="inlineStr">
        <is>
          <t>LEY 50</t>
        </is>
      </c>
      <c r="AE21" s="49" t="inlineStr">
        <is>
          <t>No</t>
        </is>
      </c>
      <c r="AF21" s="49" t="inlineStr">
        <is>
          <t>Normal</t>
        </is>
      </c>
      <c r="AG21" s="49" t="n"/>
      <c r="AH21" s="49" t="inlineStr">
        <is>
          <t>Si</t>
        </is>
      </c>
      <c r="AI21" s="49" t="inlineStr">
        <is>
          <t xml:space="preserve">Normal              </t>
        </is>
      </c>
      <c r="AJ21" s="49" t="inlineStr">
        <is>
          <t xml:space="preserve">Quincenal                     </t>
        </is>
      </c>
      <c r="AK21" s="49" t="inlineStr">
        <is>
          <t>NO</t>
        </is>
      </c>
      <c r="AL21" s="49" t="inlineStr">
        <is>
          <t>NO</t>
        </is>
      </c>
      <c r="AM21" s="49" t="inlineStr">
        <is>
          <t>04/09/2023</t>
        </is>
      </c>
      <c r="AN21" s="49" t="n"/>
      <c r="AO21" s="49" t="n"/>
      <c r="AP21" s="49" t="inlineStr">
        <is>
          <t xml:space="preserve">NO APLICA                </t>
        </is>
      </c>
      <c r="AQ21" s="49" t="n">
        <v>110</v>
      </c>
      <c r="AR21" s="49" t="inlineStr">
        <is>
          <t>01</t>
        </is>
      </c>
      <c r="AS21" s="49" t="n">
        <v>1</v>
      </c>
      <c r="AT21" s="49" t="inlineStr">
        <is>
          <t>No</t>
        </is>
      </c>
      <c r="AU21" s="49" t="n">
        <v>0</v>
      </c>
      <c r="AV21" s="108" t="n">
        <v>0</v>
      </c>
      <c r="AW21" s="108" t="n">
        <v>0</v>
      </c>
      <c r="AX21" s="108" t="n">
        <v>0</v>
      </c>
      <c r="AY21" s="49" t="inlineStr">
        <is>
          <t>No</t>
        </is>
      </c>
      <c r="AZ21" s="49" t="n">
        <v>242359</v>
      </c>
      <c r="BA21" s="49" t="inlineStr">
        <is>
          <t>SURA E.P.S.</t>
        </is>
      </c>
      <c r="BB21" s="49" t="inlineStr">
        <is>
          <t>PROTECCION A.F.P</t>
        </is>
      </c>
      <c r="BC21" s="49" t="inlineStr">
        <is>
          <t>CCF DE CALDAS</t>
        </is>
      </c>
      <c r="BD21" s="49" t="inlineStr">
        <is>
          <t>RIESGOS PROFESIONALES COLMENA S.A.</t>
        </is>
      </c>
      <c r="BE21" s="49" t="inlineStr">
        <is>
          <t>PORVENIR CESANTIAS</t>
        </is>
      </c>
      <c r="BF21" s="49" t="n">
        <v>0.522</v>
      </c>
      <c r="BG21" s="49" t="n">
        <v>220</v>
      </c>
      <c r="BH21" s="49" t="n">
        <v>15</v>
      </c>
      <c r="BI21" s="49" t="inlineStr">
        <is>
          <t xml:space="preserve">0           </t>
        </is>
      </c>
      <c r="BJ21" s="49" t="inlineStr">
        <is>
          <t xml:space="preserve">NO APLICA                               </t>
        </is>
      </c>
      <c r="BK21" s="49" t="inlineStr">
        <is>
          <t xml:space="preserve">0           </t>
        </is>
      </c>
      <c r="BL21" s="49" t="inlineStr">
        <is>
          <t xml:space="preserve">NO APLICA                               </t>
        </is>
      </c>
      <c r="BM21" s="49" t="inlineStr">
        <is>
          <t xml:space="preserve">0           </t>
        </is>
      </c>
      <c r="BN21" s="49" t="inlineStr">
        <is>
          <t xml:space="preserve">NO APLICA                               </t>
        </is>
      </c>
      <c r="BO21" s="49" t="inlineStr">
        <is>
          <t>0</t>
        </is>
      </c>
      <c r="BP21" s="49" t="inlineStr">
        <is>
          <t>NO APLICA</t>
        </is>
      </c>
      <c r="BQ21" s="49" t="inlineStr">
        <is>
          <t>0</t>
        </is>
      </c>
      <c r="BR21" s="49" t="inlineStr">
        <is>
          <t>NO APLICA</t>
        </is>
      </c>
      <c r="BS21" s="49" t="inlineStr">
        <is>
          <t>0</t>
        </is>
      </c>
      <c r="BT21" s="49" t="inlineStr">
        <is>
          <t>NO APLICA</t>
        </is>
      </c>
      <c r="BU21" s="49" t="inlineStr">
        <is>
          <t>0</t>
        </is>
      </c>
      <c r="BV21" s="49" t="inlineStr">
        <is>
          <t>NO APLICA</t>
        </is>
      </c>
      <c r="BW21" s="49" t="inlineStr">
        <is>
          <t>No</t>
        </is>
      </c>
      <c r="BX21" s="49" t="inlineStr">
        <is>
          <t xml:space="preserve">No Aplica                     </t>
        </is>
      </c>
    </row>
    <row r="22" ht="22.5" customHeight="1">
      <c r="A22" s="49" t="n">
        <v>1053765412</v>
      </c>
      <c r="B22" s="49" t="inlineStr">
        <is>
          <t>087</t>
        </is>
      </c>
      <c r="C22" s="49" t="n">
        <v>1053765412</v>
      </c>
      <c r="D22" s="49" t="inlineStr">
        <is>
          <t>CC</t>
        </is>
      </c>
      <c r="E22" s="49" t="inlineStr">
        <is>
          <t>LEON MARULANDA SERGIO ANDRES</t>
        </is>
      </c>
      <c r="F22" s="49" t="inlineStr">
        <is>
          <t>M</t>
        </is>
      </c>
      <c r="G22" s="49" t="inlineStr">
        <is>
          <t xml:space="preserve">A  </t>
        </is>
      </c>
      <c r="H22" s="49" t="inlineStr">
        <is>
          <t>+</t>
        </is>
      </c>
      <c r="I22" s="49" t="inlineStr">
        <is>
          <t>SOLTERO</t>
        </is>
      </c>
      <c r="J22" s="49" t="inlineStr">
        <is>
          <t xml:space="preserve">MANIZALES                     </t>
        </is>
      </c>
      <c r="K22" s="49" t="n">
        <v>0</v>
      </c>
      <c r="L22" s="49" t="inlineStr">
        <is>
          <t>03/03/2004</t>
        </is>
      </c>
      <c r="M22" s="49" t="inlineStr">
        <is>
          <t xml:space="preserve">SUPIA                         </t>
        </is>
      </c>
      <c r="N22" s="49" t="inlineStr">
        <is>
          <t xml:space="preserve">O                   </t>
        </is>
      </c>
      <c r="O22" s="49" t="inlineStr">
        <is>
          <t>3125703045</t>
        </is>
      </c>
      <c r="P22" s="49" t="inlineStr">
        <is>
          <t>VDA ALTO EL OBISPO</t>
        </is>
      </c>
      <c r="Q22" s="49" t="inlineStr">
        <is>
          <t>sergioandres0754@gmail.com</t>
        </is>
      </c>
      <c r="R22" s="49" t="inlineStr">
        <is>
          <t>AUXILIAR DE EXPLORACIÓN</t>
        </is>
      </c>
      <c r="S22" s="108" t="n">
        <v>91.66666600000001</v>
      </c>
      <c r="T22" s="108" t="n">
        <v>0</v>
      </c>
      <c r="U22" s="108" t="n">
        <v>220</v>
      </c>
      <c r="V22" s="49" t="inlineStr">
        <is>
          <t>CONSIG. CTA AHORROS</t>
        </is>
      </c>
      <c r="W22" s="49" t="inlineStr">
        <is>
          <t xml:space="preserve">BANCO DAVIVIENDA S.A.         </t>
        </is>
      </c>
      <c r="X22" s="49" t="inlineStr">
        <is>
          <t xml:space="preserve">0550488439701175         </t>
        </is>
      </c>
      <c r="Y22" s="49" t="inlineStr">
        <is>
          <t xml:space="preserve">NO APLICA                     </t>
        </is>
      </c>
      <c r="Z22" s="49" t="inlineStr">
        <is>
          <t>CM0100-EXP</t>
        </is>
      </c>
      <c r="AA22" s="49" t="inlineStr">
        <is>
          <t>CM0100-EXP</t>
        </is>
      </c>
      <c r="AB22" s="49" t="inlineStr">
        <is>
          <t xml:space="preserve">01 </t>
        </is>
      </c>
      <c r="AC22" s="49" t="inlineStr">
        <is>
          <t xml:space="preserve">                </t>
        </is>
      </c>
      <c r="AD22" s="49" t="inlineStr">
        <is>
          <t>LEY 50</t>
        </is>
      </c>
      <c r="AE22" s="49" t="inlineStr">
        <is>
          <t>No</t>
        </is>
      </c>
      <c r="AF22" s="49" t="inlineStr">
        <is>
          <t>Normal</t>
        </is>
      </c>
      <c r="AG22" s="49" t="n"/>
      <c r="AH22" s="49" t="inlineStr">
        <is>
          <t>Si</t>
        </is>
      </c>
      <c r="AI22" s="49" t="inlineStr">
        <is>
          <t xml:space="preserve">Normal              </t>
        </is>
      </c>
      <c r="AJ22" s="49" t="inlineStr">
        <is>
          <t xml:space="preserve">Quincenal                     </t>
        </is>
      </c>
      <c r="AK22" s="49" t="inlineStr">
        <is>
          <t>NO</t>
        </is>
      </c>
      <c r="AL22" s="49" t="inlineStr">
        <is>
          <t>NO</t>
        </is>
      </c>
      <c r="AM22" s="49" t="inlineStr">
        <is>
          <t>08/08/2024</t>
        </is>
      </c>
      <c r="AN22" s="49" t="n"/>
      <c r="AO22" s="49" t="n"/>
      <c r="AP22" s="49" t="inlineStr">
        <is>
          <t xml:space="preserve">NO APLICA                </t>
        </is>
      </c>
      <c r="AQ22" s="49" t="n">
        <v>143</v>
      </c>
      <c r="AR22" s="49" t="inlineStr">
        <is>
          <t>01</t>
        </is>
      </c>
      <c r="AS22" s="49" t="n">
        <v>1</v>
      </c>
      <c r="AT22" s="49" t="inlineStr">
        <is>
          <t>No</t>
        </is>
      </c>
      <c r="AU22" s="49" t="n">
        <v>0</v>
      </c>
      <c r="AV22" s="108" t="n">
        <v>0</v>
      </c>
      <c r="AW22" s="108" t="n">
        <v>0</v>
      </c>
      <c r="AX22" s="108" t="n">
        <v>0</v>
      </c>
      <c r="AY22" s="49" t="inlineStr">
        <is>
          <t>No</t>
        </is>
      </c>
      <c r="AZ22" s="49" t="n">
        <v>71090</v>
      </c>
      <c r="BA22" s="49" t="inlineStr">
        <is>
          <t>SALUD TOTAL E.P.S.</t>
        </is>
      </c>
      <c r="BB22" s="49" t="inlineStr">
        <is>
          <t>PORVENIR A.F.P.</t>
        </is>
      </c>
      <c r="BC22" s="49" t="inlineStr">
        <is>
          <t>CCF DE CALDAS</t>
        </is>
      </c>
      <c r="BD22" s="49" t="inlineStr">
        <is>
          <t>RIESGOS PROFESIONALES COLMENA S.A.</t>
        </is>
      </c>
      <c r="BE22" s="49" t="inlineStr">
        <is>
          <t>PORVENIR CESANTIAS</t>
        </is>
      </c>
      <c r="BF22" s="49" t="n">
        <v>6.96</v>
      </c>
      <c r="BG22" s="49" t="n">
        <v>220</v>
      </c>
      <c r="BH22" s="49" t="n">
        <v>15</v>
      </c>
      <c r="BI22" s="49" t="inlineStr">
        <is>
          <t xml:space="preserve">0           </t>
        </is>
      </c>
      <c r="BJ22" s="49" t="inlineStr">
        <is>
          <t xml:space="preserve">NO APLICA                               </t>
        </is>
      </c>
      <c r="BK22" s="49" t="inlineStr">
        <is>
          <t>02</t>
        </is>
      </c>
      <c r="BL22" s="49" t="inlineStr">
        <is>
          <t xml:space="preserve">Caldas                                  </t>
        </is>
      </c>
      <c r="BM22" s="49" t="inlineStr">
        <is>
          <t>02</t>
        </is>
      </c>
      <c r="BN22" s="49" t="inlineStr">
        <is>
          <t xml:space="preserve">Supia                                   </t>
        </is>
      </c>
      <c r="BO22" s="49" t="inlineStr">
        <is>
          <t>0</t>
        </is>
      </c>
      <c r="BP22" s="49" t="inlineStr">
        <is>
          <t>NO APLICA</t>
        </is>
      </c>
      <c r="BQ22" s="49" t="inlineStr">
        <is>
          <t>0</t>
        </is>
      </c>
      <c r="BR22" s="49" t="inlineStr">
        <is>
          <t>NO APLICA</t>
        </is>
      </c>
      <c r="BS22" s="49" t="inlineStr">
        <is>
          <t>0</t>
        </is>
      </c>
      <c r="BT22" s="49" t="inlineStr">
        <is>
          <t>NO APLICA</t>
        </is>
      </c>
      <c r="BU22" s="49" t="inlineStr">
        <is>
          <t>0</t>
        </is>
      </c>
      <c r="BV22" s="49" t="inlineStr">
        <is>
          <t>NO APLICA</t>
        </is>
      </c>
      <c r="BW22" s="49" t="inlineStr">
        <is>
          <t>No</t>
        </is>
      </c>
      <c r="BX22" s="49" t="inlineStr">
        <is>
          <t xml:space="preserve">No Aplica                     </t>
        </is>
      </c>
    </row>
    <row r="23" ht="15" customHeight="1">
      <c r="A23" s="49" t="n">
        <v>1053784995</v>
      </c>
      <c r="B23" s="49" t="inlineStr">
        <is>
          <t>001</t>
        </is>
      </c>
      <c r="C23" s="49" t="n">
        <v>1053784995</v>
      </c>
      <c r="D23" s="49" t="inlineStr">
        <is>
          <t>CC</t>
        </is>
      </c>
      <c r="E23" s="49" t="inlineStr">
        <is>
          <t>RAMIREZ MOSQUERA HENRY ALEXANDER</t>
        </is>
      </c>
      <c r="F23" s="49" t="inlineStr">
        <is>
          <t>M</t>
        </is>
      </c>
      <c r="G23" s="49" t="inlineStr">
        <is>
          <t xml:space="preserve">O  </t>
        </is>
      </c>
      <c r="H23" s="49" t="inlineStr">
        <is>
          <t>+</t>
        </is>
      </c>
      <c r="I23" s="49" t="inlineStr">
        <is>
          <t>CASADO</t>
        </is>
      </c>
      <c r="J23" s="49" t="inlineStr">
        <is>
          <t xml:space="preserve">QUINCHIA                      </t>
        </is>
      </c>
      <c r="K23" s="49" t="n">
        <v>0</v>
      </c>
      <c r="L23" s="49" t="inlineStr">
        <is>
          <t>06/04/1988</t>
        </is>
      </c>
      <c r="M23" s="49" t="inlineStr">
        <is>
          <t xml:space="preserve">MARMATO                       </t>
        </is>
      </c>
      <c r="N23" s="49" t="inlineStr">
        <is>
          <t xml:space="preserve">3122980167          </t>
        </is>
      </c>
      <c r="O23" s="49" t="inlineStr">
        <is>
          <t>3122980167</t>
        </is>
      </c>
      <c r="P23" s="49" t="inlineStr">
        <is>
          <t>Calle 141 # 15A 32 MZ 29 CS2934</t>
        </is>
      </c>
      <c r="Q23" s="49" t="inlineStr">
        <is>
          <t>h.ramirez@collectivemining.com</t>
        </is>
      </c>
      <c r="R23" s="49" t="inlineStr">
        <is>
          <t>JEFE DE EXPLORACIÓN</t>
        </is>
      </c>
      <c r="S23" s="108" t="n">
        <v>91.66666600000001</v>
      </c>
      <c r="T23" s="108" t="n">
        <v>0</v>
      </c>
      <c r="U23" s="108" t="n">
        <v>220</v>
      </c>
      <c r="V23" s="49" t="inlineStr">
        <is>
          <t>CONSIG. CTA AHORROS</t>
        </is>
      </c>
      <c r="W23" s="49" t="inlineStr">
        <is>
          <t xml:space="preserve">BBVA COLOMBIA                 </t>
        </is>
      </c>
      <c r="X23" s="49" t="inlineStr">
        <is>
          <t xml:space="preserve"> 926000252               </t>
        </is>
      </c>
      <c r="Y23" s="49" t="inlineStr">
        <is>
          <t xml:space="preserve">NO APLICA                     </t>
        </is>
      </c>
      <c r="Z23" s="49" t="inlineStr">
        <is>
          <t>CM0100-EXP</t>
        </is>
      </c>
      <c r="AA23" s="49" t="inlineStr">
        <is>
          <t>CM0100-EXP</t>
        </is>
      </c>
      <c r="AB23" s="49" t="inlineStr">
        <is>
          <t xml:space="preserve">01 </t>
        </is>
      </c>
      <c r="AC23" s="49" t="inlineStr">
        <is>
          <t xml:space="preserve">0               </t>
        </is>
      </c>
      <c r="AD23" s="49" t="inlineStr">
        <is>
          <t>LEY 50</t>
        </is>
      </c>
      <c r="AE23" s="49" t="inlineStr">
        <is>
          <t>No</t>
        </is>
      </c>
      <c r="AF23" s="49" t="inlineStr">
        <is>
          <t>Normal</t>
        </is>
      </c>
      <c r="AG23" s="49" t="n"/>
      <c r="AH23" s="49" t="inlineStr">
        <is>
          <t>Si</t>
        </is>
      </c>
      <c r="AI23" s="49" t="inlineStr">
        <is>
          <t xml:space="preserve">Normal              </t>
        </is>
      </c>
      <c r="AJ23" s="49" t="inlineStr">
        <is>
          <t xml:space="preserve">Quincenal                     </t>
        </is>
      </c>
      <c r="AK23" s="49" t="inlineStr">
        <is>
          <t>NO</t>
        </is>
      </c>
      <c r="AL23" s="49" t="inlineStr">
        <is>
          <t>NO</t>
        </is>
      </c>
      <c r="AM23" s="49" t="inlineStr">
        <is>
          <t>15/07/2020</t>
        </is>
      </c>
      <c r="AN23" s="49" t="n"/>
      <c r="AO23" s="49" t="n"/>
      <c r="AP23" s="49" t="inlineStr">
        <is>
          <t xml:space="preserve">NO APLICA                </t>
        </is>
      </c>
      <c r="AQ23" s="49" t="n">
        <v>49</v>
      </c>
      <c r="AR23" s="49" t="inlineStr">
        <is>
          <t>01</t>
        </is>
      </c>
      <c r="AS23" s="49" t="n">
        <v>1</v>
      </c>
      <c r="AT23" s="49" t="inlineStr">
        <is>
          <t>No</t>
        </is>
      </c>
      <c r="AU23" s="49" t="n">
        <v>0</v>
      </c>
      <c r="AV23" s="108" t="n">
        <v>0</v>
      </c>
      <c r="AW23" s="108" t="n">
        <v>0</v>
      </c>
      <c r="AX23" s="108" t="n">
        <v>0</v>
      </c>
      <c r="AY23" s="49" t="inlineStr">
        <is>
          <t>No</t>
        </is>
      </c>
      <c r="AZ23" s="49" t="n">
        <v>515976</v>
      </c>
      <c r="BA23" s="49" t="inlineStr">
        <is>
          <t>SURA E.P.S.</t>
        </is>
      </c>
      <c r="BB23" s="49" t="inlineStr">
        <is>
          <t>PORVENIR A.F.P.</t>
        </is>
      </c>
      <c r="BC23" s="49" t="inlineStr">
        <is>
          <t>CCF DE CALDAS</t>
        </is>
      </c>
      <c r="BD23" s="49" t="inlineStr">
        <is>
          <t>RIESGOS PROFESIONALES COLMENA S.A.</t>
        </is>
      </c>
      <c r="BE23" s="49" t="inlineStr">
        <is>
          <t>PORVENIR CESANTIAS</t>
        </is>
      </c>
      <c r="BF23" s="49" t="n">
        <v>6.96</v>
      </c>
      <c r="BG23" s="49" t="n">
        <v>220</v>
      </c>
      <c r="BH23" s="49" t="n">
        <v>15</v>
      </c>
      <c r="BI23" s="49" t="inlineStr">
        <is>
          <t xml:space="preserve">0           </t>
        </is>
      </c>
      <c r="BJ23" s="49" t="inlineStr">
        <is>
          <t xml:space="preserve">NO APLICA                               </t>
        </is>
      </c>
      <c r="BK23" s="49" t="inlineStr">
        <is>
          <t>02</t>
        </is>
      </c>
      <c r="BL23" s="49" t="inlineStr">
        <is>
          <t xml:space="preserve">Caldas                                  </t>
        </is>
      </c>
      <c r="BM23" s="49" t="inlineStr">
        <is>
          <t>03</t>
        </is>
      </c>
      <c r="BN23" s="49" t="inlineStr">
        <is>
          <t xml:space="preserve">Marmato                                 </t>
        </is>
      </c>
      <c r="BO23" s="49" t="inlineStr">
        <is>
          <t>0</t>
        </is>
      </c>
      <c r="BP23" s="49" t="inlineStr">
        <is>
          <t>NO APLICA</t>
        </is>
      </c>
      <c r="BQ23" s="49" t="inlineStr">
        <is>
          <t>0</t>
        </is>
      </c>
      <c r="BR23" s="49" t="inlineStr">
        <is>
          <t>NO APLICA</t>
        </is>
      </c>
      <c r="BS23" s="49" t="inlineStr">
        <is>
          <t>0</t>
        </is>
      </c>
      <c r="BT23" s="49" t="inlineStr">
        <is>
          <t>NO APLICA</t>
        </is>
      </c>
      <c r="BU23" s="49" t="inlineStr">
        <is>
          <t>0</t>
        </is>
      </c>
      <c r="BV23" s="49" t="inlineStr">
        <is>
          <t>NO APLICA</t>
        </is>
      </c>
      <c r="BW23" s="49" t="inlineStr">
        <is>
          <t>No</t>
        </is>
      </c>
      <c r="BX23" s="49" t="inlineStr">
        <is>
          <t xml:space="preserve">No Aplica                     </t>
        </is>
      </c>
    </row>
    <row r="24" ht="22.5" customHeight="1">
      <c r="A24" s="49" t="n">
        <v>1053823924</v>
      </c>
      <c r="B24" s="49" t="inlineStr">
        <is>
          <t>021</t>
        </is>
      </c>
      <c r="C24" s="49" t="n">
        <v>1053823924</v>
      </c>
      <c r="D24" s="49" t="inlineStr">
        <is>
          <t>CC</t>
        </is>
      </c>
      <c r="E24" s="49" t="inlineStr">
        <is>
          <t>ARANGO TRUJILLO MARCELO</t>
        </is>
      </c>
      <c r="F24" s="49" t="inlineStr">
        <is>
          <t>M</t>
        </is>
      </c>
      <c r="G24" s="49" t="inlineStr">
        <is>
          <t xml:space="preserve">O  </t>
        </is>
      </c>
      <c r="H24" s="49" t="inlineStr">
        <is>
          <t>+</t>
        </is>
      </c>
      <c r="I24" s="49" t="inlineStr">
        <is>
          <t>SOLTERO</t>
        </is>
      </c>
      <c r="J24" s="49" t="inlineStr">
        <is>
          <t xml:space="preserve">MANIZALES                     </t>
        </is>
      </c>
      <c r="K24" s="49" t="n">
        <v>0</v>
      </c>
      <c r="L24" s="49" t="inlineStr">
        <is>
          <t>13/01/1993</t>
        </is>
      </c>
      <c r="M24" s="49" t="inlineStr">
        <is>
          <t xml:space="preserve">SUPIA                         </t>
        </is>
      </c>
      <c r="N24" s="49" t="inlineStr">
        <is>
          <t xml:space="preserve">3117896895          </t>
        </is>
      </c>
      <c r="O24" s="49" t="inlineStr">
        <is>
          <t>3117896895</t>
        </is>
      </c>
      <c r="P24" s="49" t="inlineStr">
        <is>
          <t xml:space="preserve">CARRERA 19 # 4 A 2 - 28                 </t>
        </is>
      </c>
      <c r="Q24" s="49" t="inlineStr">
        <is>
          <t>marceloarango91@gmail.com</t>
        </is>
      </c>
      <c r="R24" s="49" t="inlineStr">
        <is>
          <t>JEFE GEOLOGIA- ESPECIALISTA ESTRUCTURAL</t>
        </is>
      </c>
      <c r="S24" s="108" t="n">
        <v>91.66666600000001</v>
      </c>
      <c r="T24" s="108" t="n">
        <v>0</v>
      </c>
      <c r="U24" s="108" t="n">
        <v>220</v>
      </c>
      <c r="V24" s="49" t="inlineStr">
        <is>
          <t>CONSIG. CTA AHORROS</t>
        </is>
      </c>
      <c r="W24" s="49" t="inlineStr">
        <is>
          <t xml:space="preserve">BANCOLOMBIA S.A.              </t>
        </is>
      </c>
      <c r="X24" s="49" t="inlineStr">
        <is>
          <t xml:space="preserve">05925837727              </t>
        </is>
      </c>
      <c r="Y24" s="49" t="inlineStr">
        <is>
          <t xml:space="preserve">NO APLICA                     </t>
        </is>
      </c>
      <c r="Z24" s="49" t="inlineStr">
        <is>
          <t>CM0100-EXP</t>
        </is>
      </c>
      <c r="AA24" s="49" t="inlineStr">
        <is>
          <t>CM0100-EXP</t>
        </is>
      </c>
      <c r="AB24" s="49" t="inlineStr">
        <is>
          <t xml:space="preserve">01 </t>
        </is>
      </c>
      <c r="AC24" s="49" t="inlineStr">
        <is>
          <t xml:space="preserve">0               </t>
        </is>
      </c>
      <c r="AD24" s="49" t="inlineStr">
        <is>
          <t>LEY 50</t>
        </is>
      </c>
      <c r="AE24" s="49" t="inlineStr">
        <is>
          <t>No</t>
        </is>
      </c>
      <c r="AF24" s="49" t="inlineStr">
        <is>
          <t>Normal</t>
        </is>
      </c>
      <c r="AG24" s="49" t="n"/>
      <c r="AH24" s="49" t="inlineStr">
        <is>
          <t>Si</t>
        </is>
      </c>
      <c r="AI24" s="49" t="inlineStr">
        <is>
          <t xml:space="preserve">Normal              </t>
        </is>
      </c>
      <c r="AJ24" s="49" t="inlineStr">
        <is>
          <t xml:space="preserve">Quincenal                     </t>
        </is>
      </c>
      <c r="AK24" s="49" t="inlineStr">
        <is>
          <t>NO</t>
        </is>
      </c>
      <c r="AL24" s="49" t="inlineStr">
        <is>
          <t>NO</t>
        </is>
      </c>
      <c r="AM24" s="49" t="inlineStr">
        <is>
          <t>14/12/2021</t>
        </is>
      </c>
      <c r="AN24" s="49" t="n"/>
      <c r="AO24" s="49" t="n"/>
      <c r="AP24" s="49" t="inlineStr">
        <is>
          <t xml:space="preserve">NO APLICA                </t>
        </is>
      </c>
      <c r="AQ24" s="49" t="n">
        <v>50</v>
      </c>
      <c r="AR24" s="49" t="inlineStr">
        <is>
          <t>03</t>
        </is>
      </c>
      <c r="AS24" s="49" t="n">
        <v>1</v>
      </c>
      <c r="AT24" s="49" t="inlineStr">
        <is>
          <t>No</t>
        </is>
      </c>
      <c r="AU24" s="49" t="n">
        <v>0</v>
      </c>
      <c r="AV24" s="108" t="n">
        <v>0</v>
      </c>
      <c r="AW24" s="108" t="n">
        <v>0</v>
      </c>
      <c r="AX24" s="108" t="n">
        <v>0</v>
      </c>
      <c r="AY24" s="49" t="inlineStr">
        <is>
          <t>No</t>
        </is>
      </c>
      <c r="AZ24" s="49" t="n">
        <v>478974</v>
      </c>
      <c r="BA24" s="49" t="inlineStr">
        <is>
          <t>SURA E.P.S.</t>
        </is>
      </c>
      <c r="BB24" s="49" t="inlineStr">
        <is>
          <t>COLPENSIONES - I.S.S. PENSION</t>
        </is>
      </c>
      <c r="BC24" s="49" t="inlineStr">
        <is>
          <t>CCF DE CALDAS</t>
        </is>
      </c>
      <c r="BD24" s="49" t="inlineStr">
        <is>
          <t>RIESGOS PROFESIONALES COLMENA S.A.</t>
        </is>
      </c>
      <c r="BE24" s="49" t="inlineStr">
        <is>
          <t>PROTECCION CESANTIAS</t>
        </is>
      </c>
      <c r="BF24" s="49" t="n">
        <v>6.96</v>
      </c>
      <c r="BG24" s="49" t="n">
        <v>220</v>
      </c>
      <c r="BH24" s="49" t="n">
        <v>15</v>
      </c>
      <c r="BI24" s="49" t="inlineStr">
        <is>
          <t xml:space="preserve">0           </t>
        </is>
      </c>
      <c r="BJ24" s="49" t="inlineStr">
        <is>
          <t xml:space="preserve">NO APLICA                               </t>
        </is>
      </c>
      <c r="BK24" s="49" t="inlineStr">
        <is>
          <t>02</t>
        </is>
      </c>
      <c r="BL24" s="49" t="inlineStr">
        <is>
          <t xml:space="preserve">Caldas                                  </t>
        </is>
      </c>
      <c r="BM24" s="49" t="inlineStr">
        <is>
          <t>02</t>
        </is>
      </c>
      <c r="BN24" s="49" t="inlineStr">
        <is>
          <t xml:space="preserve">Supia                                   </t>
        </is>
      </c>
      <c r="BO24" s="49" t="inlineStr">
        <is>
          <t>0</t>
        </is>
      </c>
      <c r="BP24" s="49" t="inlineStr">
        <is>
          <t>NO APLICA</t>
        </is>
      </c>
      <c r="BQ24" s="49" t="inlineStr">
        <is>
          <t>0</t>
        </is>
      </c>
      <c r="BR24" s="49" t="inlineStr">
        <is>
          <t>NO APLICA</t>
        </is>
      </c>
      <c r="BS24" s="49" t="inlineStr">
        <is>
          <t>0</t>
        </is>
      </c>
      <c r="BT24" s="49" t="inlineStr">
        <is>
          <t>NO APLICA</t>
        </is>
      </c>
      <c r="BU24" s="49" t="inlineStr">
        <is>
          <t>0</t>
        </is>
      </c>
      <c r="BV24" s="49" t="inlineStr">
        <is>
          <t>NO APLICA</t>
        </is>
      </c>
      <c r="BW24" s="49" t="inlineStr">
        <is>
          <t>No</t>
        </is>
      </c>
      <c r="BX24" s="49" t="inlineStr">
        <is>
          <t xml:space="preserve">No Aplica                     </t>
        </is>
      </c>
    </row>
    <row r="25" ht="30" customHeight="1">
      <c r="A25" s="49" t="n">
        <v>1053838548</v>
      </c>
      <c r="B25" s="49" t="inlineStr">
        <is>
          <t xml:space="preserve"> 144</t>
        </is>
      </c>
      <c r="C25" s="49" t="n">
        <v>1053838548</v>
      </c>
      <c r="D25" s="49" t="inlineStr">
        <is>
          <t>CC</t>
        </is>
      </c>
      <c r="E25" s="49" t="inlineStr">
        <is>
          <t>OCAMPO SALAZAR LAURA DAYANA</t>
        </is>
      </c>
      <c r="F25" s="49" t="inlineStr">
        <is>
          <t>F</t>
        </is>
      </c>
      <c r="G25" s="49" t="inlineStr">
        <is>
          <t xml:space="preserve">A  </t>
        </is>
      </c>
      <c r="H25" s="49" t="inlineStr">
        <is>
          <t>+</t>
        </is>
      </c>
      <c r="I25" s="49" t="inlineStr">
        <is>
          <t>SOLTERO</t>
        </is>
      </c>
      <c r="J25" s="49" t="inlineStr">
        <is>
          <t xml:space="preserve">MANIZALES                     </t>
        </is>
      </c>
      <c r="K25" s="49" t="n">
        <v>0</v>
      </c>
      <c r="L25" s="49" t="inlineStr">
        <is>
          <t>30/10/1994</t>
        </is>
      </c>
      <c r="M25" s="49" t="inlineStr">
        <is>
          <t xml:space="preserve">SUPIA                         </t>
        </is>
      </c>
      <c r="N25" s="49" t="inlineStr">
        <is>
          <t xml:space="preserve">0000                </t>
        </is>
      </c>
      <c r="O25" s="49" t="inlineStr">
        <is>
          <t>3122901093</t>
        </is>
      </c>
      <c r="P25" s="49" t="inlineStr">
        <is>
          <t>Cll 11bis  4429 B2 AP 301</t>
        </is>
      </c>
      <c r="Q25" s="49" t="inlineStr">
        <is>
          <t>lauradayana-36@hotmail.es</t>
        </is>
      </c>
      <c r="R25" s="49" t="inlineStr">
        <is>
          <t>PROFESIONAL DE NOMINA Y COMPENSACIÓN</t>
        </is>
      </c>
      <c r="S25" s="108" t="n">
        <v>91.66666600000001</v>
      </c>
      <c r="T25" s="108" t="n">
        <v>0</v>
      </c>
      <c r="U25" s="108" t="n">
        <v>220</v>
      </c>
      <c r="V25" s="49" t="inlineStr">
        <is>
          <t>CONSIG. CTA AHORROS</t>
        </is>
      </c>
      <c r="W25" s="49" t="inlineStr">
        <is>
          <t xml:space="preserve">BANCO DAVIVIENDA S.A.         </t>
        </is>
      </c>
      <c r="X25" s="49" t="inlineStr">
        <is>
          <t xml:space="preserve">0550087000092947         </t>
        </is>
      </c>
      <c r="Y25" s="49" t="inlineStr">
        <is>
          <t xml:space="preserve">NO APLICA                     </t>
        </is>
      </c>
      <c r="Z25" s="49" t="inlineStr">
        <is>
          <t>CM0601-HUR</t>
        </is>
      </c>
      <c r="AA25" s="49" t="inlineStr">
        <is>
          <t>CM0601-HUR</t>
        </is>
      </c>
      <c r="AB25" s="49" t="inlineStr">
        <is>
          <t xml:space="preserve">01 </t>
        </is>
      </c>
      <c r="AC25" s="49" t="inlineStr">
        <is>
          <t xml:space="preserve">                </t>
        </is>
      </c>
      <c r="AD25" s="49" t="inlineStr">
        <is>
          <t>LEY 50</t>
        </is>
      </c>
      <c r="AE25" s="49" t="inlineStr">
        <is>
          <t>No</t>
        </is>
      </c>
      <c r="AF25" s="49" t="inlineStr">
        <is>
          <t>Normal</t>
        </is>
      </c>
      <c r="AG25" s="49" t="n"/>
      <c r="AH25" s="49" t="inlineStr">
        <is>
          <t>Si</t>
        </is>
      </c>
      <c r="AI25" s="49" t="inlineStr">
        <is>
          <t xml:space="preserve">Normal              </t>
        </is>
      </c>
      <c r="AJ25" s="49" t="inlineStr">
        <is>
          <t xml:space="preserve">Quincenal                     </t>
        </is>
      </c>
      <c r="AK25" s="49" t="inlineStr">
        <is>
          <t>NO</t>
        </is>
      </c>
      <c r="AL25" s="49" t="inlineStr">
        <is>
          <t>NO</t>
        </is>
      </c>
      <c r="AM25" s="49" t="inlineStr">
        <is>
          <t>15/10/2025</t>
        </is>
      </c>
      <c r="AN25" s="49" t="n"/>
      <c r="AO25" s="49" t="n"/>
      <c r="AP25" s="49" t="inlineStr">
        <is>
          <t xml:space="preserve">NO APLICA                </t>
        </is>
      </c>
      <c r="AQ25" s="49" t="n">
        <v>204</v>
      </c>
      <c r="AR25" s="49" t="inlineStr">
        <is>
          <t>01</t>
        </is>
      </c>
      <c r="AS25" s="49" t="n">
        <v>1</v>
      </c>
      <c r="AT25" s="49" t="inlineStr">
        <is>
          <t>No</t>
        </is>
      </c>
      <c r="AU25" s="49" t="n">
        <v>0</v>
      </c>
      <c r="AV25" s="108" t="n">
        <v>0</v>
      </c>
      <c r="AW25" s="108" t="n">
        <v>0</v>
      </c>
      <c r="AX25" s="108" t="n">
        <v>0</v>
      </c>
      <c r="AY25" s="49" t="inlineStr">
        <is>
          <t>No</t>
        </is>
      </c>
      <c r="AZ25" s="49" t="n">
        <v>0</v>
      </c>
      <c r="BA25" s="49" t="inlineStr">
        <is>
          <t>SURA E.P.S.</t>
        </is>
      </c>
      <c r="BB25" s="49" t="inlineStr">
        <is>
          <t>PORVENIR A.F.P.</t>
        </is>
      </c>
      <c r="BC25" s="49" t="inlineStr">
        <is>
          <t>CCF DE CALDAS</t>
        </is>
      </c>
      <c r="BD25" s="49" t="inlineStr">
        <is>
          <t>RIESGOS PROFESIONALES COLMENA S.A.</t>
        </is>
      </c>
      <c r="BE25" s="49" t="inlineStr">
        <is>
          <t>FONDO NACIONAL DEL AHORRO</t>
        </is>
      </c>
      <c r="BF25" s="49" t="n">
        <v>6.96</v>
      </c>
      <c r="BG25" s="49" t="n">
        <v>220</v>
      </c>
      <c r="BH25" s="49" t="n">
        <v>15</v>
      </c>
      <c r="BI25" s="49" t="inlineStr">
        <is>
          <t xml:space="preserve">0           </t>
        </is>
      </c>
      <c r="BJ25" s="49" t="inlineStr">
        <is>
          <t xml:space="preserve">NO APLICA                               </t>
        </is>
      </c>
      <c r="BK25" s="49" t="inlineStr">
        <is>
          <t>02</t>
        </is>
      </c>
      <c r="BL25" s="49" t="inlineStr">
        <is>
          <t xml:space="preserve">Caldas                                  </t>
        </is>
      </c>
      <c r="BM25" s="49" t="inlineStr">
        <is>
          <t>02</t>
        </is>
      </c>
      <c r="BN25" s="49" t="inlineStr">
        <is>
          <t xml:space="preserve">Supia                                   </t>
        </is>
      </c>
      <c r="BO25" s="49" t="inlineStr">
        <is>
          <t>0</t>
        </is>
      </c>
      <c r="BP25" s="49" t="inlineStr">
        <is>
          <t>NO APLICA</t>
        </is>
      </c>
      <c r="BQ25" s="49" t="inlineStr">
        <is>
          <t>0</t>
        </is>
      </c>
      <c r="BR25" s="49" t="inlineStr">
        <is>
          <t>NO APLICA</t>
        </is>
      </c>
      <c r="BS25" s="49" t="inlineStr">
        <is>
          <t>0</t>
        </is>
      </c>
      <c r="BT25" s="49" t="inlineStr">
        <is>
          <t>NO APLICA</t>
        </is>
      </c>
      <c r="BU25" s="49" t="inlineStr">
        <is>
          <t>0</t>
        </is>
      </c>
      <c r="BV25" s="49" t="inlineStr">
        <is>
          <t>NO APLICA</t>
        </is>
      </c>
      <c r="BW25" s="49" t="inlineStr">
        <is>
          <t>No</t>
        </is>
      </c>
      <c r="BX25" s="49" t="inlineStr">
        <is>
          <t xml:space="preserve">No Aplica                     </t>
        </is>
      </c>
    </row>
    <row r="26" ht="22.5" customHeight="1">
      <c r="A26" s="49" t="n">
        <v>1053842239</v>
      </c>
      <c r="B26" s="49" t="inlineStr">
        <is>
          <t>069</t>
        </is>
      </c>
      <c r="C26" s="49" t="n">
        <v>1053842239</v>
      </c>
      <c r="D26" s="49" t="inlineStr">
        <is>
          <t>CC</t>
        </is>
      </c>
      <c r="E26" s="49" t="inlineStr">
        <is>
          <t>ARICAPA TREJOS VAIRON CAMILO</t>
        </is>
      </c>
      <c r="F26" s="49" t="inlineStr">
        <is>
          <t>M</t>
        </is>
      </c>
      <c r="G26" s="49" t="inlineStr">
        <is>
          <t xml:space="preserve">A  </t>
        </is>
      </c>
      <c r="H26" s="49" t="inlineStr">
        <is>
          <t>+</t>
        </is>
      </c>
      <c r="I26" s="49" t="inlineStr">
        <is>
          <t>SOLTERO</t>
        </is>
      </c>
      <c r="J26" s="49" t="inlineStr">
        <is>
          <t xml:space="preserve">MANIZALES                     </t>
        </is>
      </c>
      <c r="K26" s="49" t="n">
        <v>0</v>
      </c>
      <c r="L26" s="49" t="inlineStr">
        <is>
          <t>06/05/1995</t>
        </is>
      </c>
      <c r="M26" s="49" t="inlineStr">
        <is>
          <t xml:space="preserve">SUPIA                         </t>
        </is>
      </c>
      <c r="N26" s="49" t="inlineStr">
        <is>
          <t xml:space="preserve">0                   </t>
        </is>
      </c>
      <c r="O26" s="49" t="inlineStr">
        <is>
          <t>3233872200</t>
        </is>
      </c>
      <c r="P26" s="49" t="inlineStr">
        <is>
          <t>CL 11 9 28</t>
        </is>
      </c>
      <c r="Q26" s="49" t="inlineStr">
        <is>
          <t>camiloaricapa.geologo@gmail.com</t>
        </is>
      </c>
      <c r="R26" s="49" t="inlineStr">
        <is>
          <t>GEOLOGO JUNIOR</t>
        </is>
      </c>
      <c r="S26" s="108" t="n">
        <v>91.66666600000001</v>
      </c>
      <c r="T26" s="108" t="n">
        <v>0</v>
      </c>
      <c r="U26" s="108" t="n">
        <v>220</v>
      </c>
      <c r="V26" s="49" t="inlineStr">
        <is>
          <t>CONSIG. CTA AHORROS</t>
        </is>
      </c>
      <c r="W26" s="49" t="inlineStr">
        <is>
          <t xml:space="preserve">BANCO DAVIVIENDA S.A.         </t>
        </is>
      </c>
      <c r="X26" s="49" t="inlineStr">
        <is>
          <t xml:space="preserve">550488407152948          </t>
        </is>
      </c>
      <c r="Y26" s="49" t="inlineStr">
        <is>
          <t xml:space="preserve">NO APLICA                     </t>
        </is>
      </c>
      <c r="Z26" s="49" t="inlineStr">
        <is>
          <t>CM0100-EXP</t>
        </is>
      </c>
      <c r="AA26" s="49" t="inlineStr">
        <is>
          <t>CM0100-EXP</t>
        </is>
      </c>
      <c r="AB26" s="49" t="inlineStr">
        <is>
          <t xml:space="preserve">01 </t>
        </is>
      </c>
      <c r="AC26" s="49" t="inlineStr">
        <is>
          <t xml:space="preserve">                </t>
        </is>
      </c>
      <c r="AD26" s="49" t="inlineStr">
        <is>
          <t>LEY 50</t>
        </is>
      </c>
      <c r="AE26" s="49" t="inlineStr">
        <is>
          <t>No</t>
        </is>
      </c>
      <c r="AF26" s="49" t="inlineStr">
        <is>
          <t>Normal</t>
        </is>
      </c>
      <c r="AG26" s="49" t="n"/>
      <c r="AH26" s="49" t="inlineStr">
        <is>
          <t>Si</t>
        </is>
      </c>
      <c r="AI26" s="49" t="inlineStr">
        <is>
          <t xml:space="preserve">Normal              </t>
        </is>
      </c>
      <c r="AJ26" s="49" t="inlineStr">
        <is>
          <t xml:space="preserve">Quincenal                     </t>
        </is>
      </c>
      <c r="AK26" s="49" t="inlineStr">
        <is>
          <t>NO</t>
        </is>
      </c>
      <c r="AL26" s="49" t="inlineStr">
        <is>
          <t>NO</t>
        </is>
      </c>
      <c r="AM26" s="49" t="inlineStr">
        <is>
          <t>16/04/2024</t>
        </is>
      </c>
      <c r="AN26" s="49" t="n"/>
      <c r="AO26" s="49" t="n"/>
      <c r="AP26" s="49" t="inlineStr">
        <is>
          <t xml:space="preserve">NO APLICA                </t>
        </is>
      </c>
      <c r="AQ26" s="49" t="n">
        <v>125</v>
      </c>
      <c r="AR26" s="49" t="inlineStr">
        <is>
          <t>01</t>
        </is>
      </c>
      <c r="AS26" s="49" t="n">
        <v>1</v>
      </c>
      <c r="AT26" s="49" t="inlineStr">
        <is>
          <t>No</t>
        </is>
      </c>
      <c r="AU26" s="49" t="n">
        <v>0</v>
      </c>
      <c r="AV26" s="108" t="n">
        <v>0</v>
      </c>
      <c r="AW26" s="108" t="n">
        <v>0</v>
      </c>
      <c r="AX26" s="108" t="n">
        <v>0</v>
      </c>
      <c r="AY26" s="49" t="inlineStr">
        <is>
          <t>No</t>
        </is>
      </c>
      <c r="AZ26" s="49" t="n">
        <v>212811</v>
      </c>
      <c r="BA26" s="49" t="inlineStr">
        <is>
          <t>NUEVA E.P.S</t>
        </is>
      </c>
      <c r="BB26" s="49" t="inlineStr">
        <is>
          <t>COLFONDOS  A.F.P.</t>
        </is>
      </c>
      <c r="BC26" s="49" t="inlineStr">
        <is>
          <t>CCF DE CALDAS</t>
        </is>
      </c>
      <c r="BD26" s="49" t="inlineStr">
        <is>
          <t>RIESGOS PROFESIONALES COLMENA S.A.</t>
        </is>
      </c>
      <c r="BE26" s="49" t="inlineStr">
        <is>
          <t>PORVENIR CESANTIAS</t>
        </is>
      </c>
      <c r="BF26" s="49" t="n">
        <v>6.96</v>
      </c>
      <c r="BG26" s="49" t="n">
        <v>220</v>
      </c>
      <c r="BH26" s="49" t="n">
        <v>15</v>
      </c>
      <c r="BI26" s="49" t="inlineStr">
        <is>
          <t xml:space="preserve">0           </t>
        </is>
      </c>
      <c r="BJ26" s="49" t="inlineStr">
        <is>
          <t xml:space="preserve">NO APLICA                               </t>
        </is>
      </c>
      <c r="BK26" s="49" t="inlineStr">
        <is>
          <t>02</t>
        </is>
      </c>
      <c r="BL26" s="49" t="inlineStr">
        <is>
          <t xml:space="preserve">Caldas                                  </t>
        </is>
      </c>
      <c r="BM26" s="49" t="inlineStr">
        <is>
          <t>02</t>
        </is>
      </c>
      <c r="BN26" s="49" t="inlineStr">
        <is>
          <t xml:space="preserve">Supia                                   </t>
        </is>
      </c>
      <c r="BO26" s="49" t="inlineStr">
        <is>
          <t>0</t>
        </is>
      </c>
      <c r="BP26" s="49" t="inlineStr">
        <is>
          <t>NO APLICA</t>
        </is>
      </c>
      <c r="BQ26" s="49" t="inlineStr">
        <is>
          <t>0</t>
        </is>
      </c>
      <c r="BR26" s="49" t="inlineStr">
        <is>
          <t>NO APLICA</t>
        </is>
      </c>
      <c r="BS26" s="49" t="inlineStr">
        <is>
          <t>0</t>
        </is>
      </c>
      <c r="BT26" s="49" t="inlineStr">
        <is>
          <t>NO APLICA</t>
        </is>
      </c>
      <c r="BU26" s="49" t="inlineStr">
        <is>
          <t>0</t>
        </is>
      </c>
      <c r="BV26" s="49" t="inlineStr">
        <is>
          <t>NO APLICA</t>
        </is>
      </c>
      <c r="BW26" s="49" t="inlineStr">
        <is>
          <t>No</t>
        </is>
      </c>
      <c r="BX26" s="49" t="inlineStr">
        <is>
          <t xml:space="preserve">No Aplica                     </t>
        </is>
      </c>
    </row>
    <row r="27" ht="22.5" customHeight="1">
      <c r="A27" s="49" t="n">
        <v>1053855982</v>
      </c>
      <c r="B27" s="49" t="inlineStr">
        <is>
          <t xml:space="preserve"> 145</t>
        </is>
      </c>
      <c r="C27" s="49" t="n">
        <v>1053855982</v>
      </c>
      <c r="D27" s="49" t="inlineStr">
        <is>
          <t>CC</t>
        </is>
      </c>
      <c r="E27" s="49" t="inlineStr">
        <is>
          <t>CORDOBA SANCHEZ LAURA</t>
        </is>
      </c>
      <c r="F27" s="49" t="inlineStr">
        <is>
          <t>F</t>
        </is>
      </c>
      <c r="G27" s="49" t="inlineStr">
        <is>
          <t xml:space="preserve">A  </t>
        </is>
      </c>
      <c r="H27" s="49" t="inlineStr">
        <is>
          <t>+</t>
        </is>
      </c>
      <c r="I27" s="49" t="inlineStr">
        <is>
          <t>SOLTERO</t>
        </is>
      </c>
      <c r="J27" s="49" t="inlineStr">
        <is>
          <t xml:space="preserve">EL ENCANTO                    </t>
        </is>
      </c>
      <c r="K27" s="49" t="n">
        <v>0</v>
      </c>
      <c r="L27" s="49" t="inlineStr">
        <is>
          <t>04/03/1997</t>
        </is>
      </c>
      <c r="M27" s="49" t="inlineStr">
        <is>
          <t xml:space="preserve">SUPIA                         </t>
        </is>
      </c>
      <c r="N27" s="49" t="inlineStr">
        <is>
          <t xml:space="preserve">0000                </t>
        </is>
      </c>
      <c r="O27" s="49" t="inlineStr">
        <is>
          <t>3054822314</t>
        </is>
      </c>
      <c r="P27" s="49" t="inlineStr">
        <is>
          <t>CL 9A 6 56</t>
        </is>
      </c>
      <c r="Q27" s="49" t="inlineStr">
        <is>
          <t>Lacordobasanchez@gmail.com</t>
        </is>
      </c>
      <c r="R27" s="49" t="inlineStr">
        <is>
          <t>GEÓLOGO JUNIOR</t>
        </is>
      </c>
      <c r="S27" s="108" t="n">
        <v>91.66666600000001</v>
      </c>
      <c r="T27" s="108" t="n">
        <v>0</v>
      </c>
      <c r="U27" s="108" t="n">
        <v>220</v>
      </c>
      <c r="V27" s="49" t="inlineStr">
        <is>
          <t>CONSIG. CTA AHORROS</t>
        </is>
      </c>
      <c r="W27" s="49" t="inlineStr">
        <is>
          <t xml:space="preserve">BANCO DAVIVIENDA S.A.         </t>
        </is>
      </c>
      <c r="X27" s="49" t="inlineStr">
        <is>
          <t xml:space="preserve">0550488455740404         </t>
        </is>
      </c>
      <c r="Y27" s="49" t="inlineStr">
        <is>
          <t xml:space="preserve">NO APLICA                     </t>
        </is>
      </c>
      <c r="Z27" s="49" t="inlineStr">
        <is>
          <t>CM0100-EXP</t>
        </is>
      </c>
      <c r="AA27" s="49" t="inlineStr">
        <is>
          <t>CM0100-EXP</t>
        </is>
      </c>
      <c r="AB27" s="49" t="inlineStr">
        <is>
          <t xml:space="preserve">01 </t>
        </is>
      </c>
      <c r="AC27" s="49" t="inlineStr">
        <is>
          <t xml:space="preserve">                </t>
        </is>
      </c>
      <c r="AD27" s="49" t="inlineStr">
        <is>
          <t>LEY 50</t>
        </is>
      </c>
      <c r="AE27" s="49" t="inlineStr">
        <is>
          <t>No</t>
        </is>
      </c>
      <c r="AF27" s="49" t="inlineStr">
        <is>
          <t>Normal</t>
        </is>
      </c>
      <c r="AG27" s="49" t="n"/>
      <c r="AH27" s="49" t="inlineStr">
        <is>
          <t>Si</t>
        </is>
      </c>
      <c r="AI27" s="49" t="inlineStr">
        <is>
          <t xml:space="preserve">Normal              </t>
        </is>
      </c>
      <c r="AJ27" s="49" t="inlineStr">
        <is>
          <t xml:space="preserve">Quincenal                     </t>
        </is>
      </c>
      <c r="AK27" s="49" t="inlineStr">
        <is>
          <t>NO</t>
        </is>
      </c>
      <c r="AL27" s="49" t="inlineStr">
        <is>
          <t>NO</t>
        </is>
      </c>
      <c r="AM27" s="49" t="inlineStr">
        <is>
          <t>06/10/2025</t>
        </is>
      </c>
      <c r="AN27" s="49" t="n"/>
      <c r="AO27" s="49" t="n"/>
      <c r="AP27" s="49" t="inlineStr">
        <is>
          <t xml:space="preserve">NO APLICA                </t>
        </is>
      </c>
      <c r="AQ27" s="49" t="n">
        <v>201</v>
      </c>
      <c r="AR27" s="49" t="inlineStr">
        <is>
          <t>01</t>
        </is>
      </c>
      <c r="AS27" s="49" t="n">
        <v>1</v>
      </c>
      <c r="AT27" s="49" t="inlineStr">
        <is>
          <t>No</t>
        </is>
      </c>
      <c r="AU27" s="49" t="n">
        <v>0</v>
      </c>
      <c r="AV27" s="108" t="n">
        <v>0</v>
      </c>
      <c r="AW27" s="108" t="n">
        <v>0</v>
      </c>
      <c r="AX27" s="108" t="n">
        <v>0</v>
      </c>
      <c r="AY27" s="49" t="inlineStr">
        <is>
          <t>No</t>
        </is>
      </c>
      <c r="AZ27" s="49" t="n">
        <v>0</v>
      </c>
      <c r="BA27" s="49" t="inlineStr">
        <is>
          <t>SURA E.P.S.</t>
        </is>
      </c>
      <c r="BB27" s="49" t="inlineStr">
        <is>
          <t>PORVENIR A.F.P.</t>
        </is>
      </c>
      <c r="BC27" s="49" t="inlineStr">
        <is>
          <t>CCF DE CALDAS</t>
        </is>
      </c>
      <c r="BD27" s="49" t="inlineStr">
        <is>
          <t>RIESGOS PROFESIONALES COLMENA S.A.</t>
        </is>
      </c>
      <c r="BE27" s="49" t="inlineStr">
        <is>
          <t>PORVENIR CESANTIAS</t>
        </is>
      </c>
      <c r="BF27" s="49" t="n">
        <v>6.96</v>
      </c>
      <c r="BG27" s="49" t="n">
        <v>220</v>
      </c>
      <c r="BH27" s="49" t="n">
        <v>15</v>
      </c>
      <c r="BI27" s="49" t="inlineStr">
        <is>
          <t xml:space="preserve">0           </t>
        </is>
      </c>
      <c r="BJ27" s="49" t="inlineStr">
        <is>
          <t xml:space="preserve">NO APLICA                               </t>
        </is>
      </c>
      <c r="BK27" s="49" t="inlineStr">
        <is>
          <t>02</t>
        </is>
      </c>
      <c r="BL27" s="49" t="inlineStr">
        <is>
          <t xml:space="preserve">Caldas                                  </t>
        </is>
      </c>
      <c r="BM27" s="49" t="inlineStr">
        <is>
          <t>02</t>
        </is>
      </c>
      <c r="BN27" s="49" t="inlineStr">
        <is>
          <t xml:space="preserve">Supia                                   </t>
        </is>
      </c>
      <c r="BO27" s="49" t="inlineStr">
        <is>
          <t>0</t>
        </is>
      </c>
      <c r="BP27" s="49" t="inlineStr">
        <is>
          <t>NO APLICA</t>
        </is>
      </c>
      <c r="BQ27" s="49" t="inlineStr">
        <is>
          <t>0</t>
        </is>
      </c>
      <c r="BR27" s="49" t="inlineStr">
        <is>
          <t>NO APLICA</t>
        </is>
      </c>
      <c r="BS27" s="49" t="inlineStr">
        <is>
          <t>0</t>
        </is>
      </c>
      <c r="BT27" s="49" t="inlineStr">
        <is>
          <t>NO APLICA</t>
        </is>
      </c>
      <c r="BU27" s="49" t="inlineStr">
        <is>
          <t>0</t>
        </is>
      </c>
      <c r="BV27" s="49" t="inlineStr">
        <is>
          <t>NO APLICA</t>
        </is>
      </c>
      <c r="BW27" s="49" t="inlineStr">
        <is>
          <t>No</t>
        </is>
      </c>
      <c r="BX27" s="49" t="inlineStr">
        <is>
          <t xml:space="preserve">No Aplica                     </t>
        </is>
      </c>
    </row>
    <row r="28" ht="22.5" customHeight="1">
      <c r="A28" s="49" t="n">
        <v>1053856093</v>
      </c>
      <c r="B28" s="49" t="inlineStr">
        <is>
          <t>024</t>
        </is>
      </c>
      <c r="C28" s="49" t="n">
        <v>1053856093</v>
      </c>
      <c r="D28" s="49" t="inlineStr">
        <is>
          <t>CC</t>
        </is>
      </c>
      <c r="E28" s="49" t="inlineStr">
        <is>
          <t>NARANJO CARDENAS PAULA MARIA</t>
        </is>
      </c>
      <c r="F28" s="49" t="inlineStr">
        <is>
          <t>F</t>
        </is>
      </c>
      <c r="G28" s="49" t="inlineStr">
        <is>
          <t xml:space="preserve">O  </t>
        </is>
      </c>
      <c r="H28" s="49" t="inlineStr">
        <is>
          <t>+</t>
        </is>
      </c>
      <c r="I28" s="49" t="inlineStr">
        <is>
          <t>SOLTERO</t>
        </is>
      </c>
      <c r="J28" s="49" t="inlineStr">
        <is>
          <t xml:space="preserve">MANIZALES                     </t>
        </is>
      </c>
      <c r="K28" s="49" t="n">
        <v>0</v>
      </c>
      <c r="L28" s="49" t="inlineStr">
        <is>
          <t>10/03/1997</t>
        </is>
      </c>
      <c r="M28" s="49" t="inlineStr">
        <is>
          <t xml:space="preserve">SUPIA                         </t>
        </is>
      </c>
      <c r="N28" s="49" t="inlineStr">
        <is>
          <t xml:space="preserve">2798606             </t>
        </is>
      </c>
      <c r="O28" s="49" t="inlineStr">
        <is>
          <t>3012798606</t>
        </is>
      </c>
      <c r="P28" s="49" t="inlineStr">
        <is>
          <t xml:space="preserve">CARRERA 23 # 73 110                     </t>
        </is>
      </c>
      <c r="Q28" s="49" t="inlineStr">
        <is>
          <t>p.naranjo@collectivemining.com</t>
        </is>
      </c>
      <c r="R28" s="49" t="inlineStr">
        <is>
          <t>GEOLOGO (A) SENIOR</t>
        </is>
      </c>
      <c r="S28" s="108" t="n">
        <v>91.66666600000001</v>
      </c>
      <c r="T28" s="108" t="n">
        <v>0</v>
      </c>
      <c r="U28" s="108" t="n">
        <v>220</v>
      </c>
      <c r="V28" s="49" t="inlineStr">
        <is>
          <t>CONSIG. CTA AHORROS</t>
        </is>
      </c>
      <c r="W28" s="49" t="inlineStr">
        <is>
          <t xml:space="preserve">BANCO DAVIVIENDA S.A.         </t>
        </is>
      </c>
      <c r="X28" s="49" t="inlineStr">
        <is>
          <t xml:space="preserve">0550488424754189         </t>
        </is>
      </c>
      <c r="Y28" s="49" t="inlineStr">
        <is>
          <t xml:space="preserve">NO APLICA                     </t>
        </is>
      </c>
      <c r="Z28" s="49" t="inlineStr">
        <is>
          <t>CM0100-EXP</t>
        </is>
      </c>
      <c r="AA28" s="49" t="inlineStr">
        <is>
          <t>CM0100-EXP</t>
        </is>
      </c>
      <c r="AB28" s="49" t="inlineStr">
        <is>
          <t xml:space="preserve">01 </t>
        </is>
      </c>
      <c r="AC28" s="49" t="inlineStr">
        <is>
          <t xml:space="preserve">0               </t>
        </is>
      </c>
      <c r="AD28" s="49" t="inlineStr">
        <is>
          <t>LEY 50</t>
        </is>
      </c>
      <c r="AE28" s="49" t="inlineStr">
        <is>
          <t>No</t>
        </is>
      </c>
      <c r="AF28" s="49" t="inlineStr">
        <is>
          <t>Normal</t>
        </is>
      </c>
      <c r="AG28" s="49" t="n"/>
      <c r="AH28" s="49" t="inlineStr">
        <is>
          <t>Si</t>
        </is>
      </c>
      <c r="AI28" s="49" t="inlineStr">
        <is>
          <t xml:space="preserve">Normal              </t>
        </is>
      </c>
      <c r="AJ28" s="49" t="inlineStr">
        <is>
          <t xml:space="preserve">Quincenal                     </t>
        </is>
      </c>
      <c r="AK28" s="49" t="inlineStr">
        <is>
          <t>NO</t>
        </is>
      </c>
      <c r="AL28" s="49" t="inlineStr">
        <is>
          <t>NO</t>
        </is>
      </c>
      <c r="AM28" s="49" t="inlineStr">
        <is>
          <t>10/05/2022</t>
        </is>
      </c>
      <c r="AN28" s="49" t="n"/>
      <c r="AO28" s="49" t="n"/>
      <c r="AP28" s="49" t="inlineStr">
        <is>
          <t xml:space="preserve">NO APLICA                </t>
        </is>
      </c>
      <c r="AQ28" s="49" t="n">
        <v>18</v>
      </c>
      <c r="AR28" s="49" t="inlineStr">
        <is>
          <t>01</t>
        </is>
      </c>
      <c r="AS28" s="49" t="n">
        <v>1</v>
      </c>
      <c r="AT28" s="49" t="inlineStr">
        <is>
          <t>No</t>
        </is>
      </c>
      <c r="AU28" s="49" t="n">
        <v>0</v>
      </c>
      <c r="AV28" s="108" t="n">
        <v>0</v>
      </c>
      <c r="AW28" s="108" t="n">
        <v>0</v>
      </c>
      <c r="AX28" s="108" t="n">
        <v>0</v>
      </c>
      <c r="AY28" s="49" t="inlineStr">
        <is>
          <t>No</t>
        </is>
      </c>
      <c r="AZ28" s="49" t="n">
        <v>218855</v>
      </c>
      <c r="BA28" s="49" t="inlineStr">
        <is>
          <t>SURA E.P.S.</t>
        </is>
      </c>
      <c r="BB28" s="49" t="inlineStr">
        <is>
          <t>PROTECCION A.F.P</t>
        </is>
      </c>
      <c r="BC28" s="49" t="inlineStr">
        <is>
          <t>CCF DE CALDAS</t>
        </is>
      </c>
      <c r="BD28" s="49" t="inlineStr">
        <is>
          <t>RIESGOS PROFESIONALES COLMENA S.A.</t>
        </is>
      </c>
      <c r="BE28" s="49" t="inlineStr">
        <is>
          <t>PROTECCION CESANTIAS</t>
        </is>
      </c>
      <c r="BF28" s="49" t="n">
        <v>6.96</v>
      </c>
      <c r="BG28" s="49" t="n">
        <v>220</v>
      </c>
      <c r="BH28" s="49" t="n">
        <v>15</v>
      </c>
      <c r="BI28" s="49" t="inlineStr">
        <is>
          <t xml:space="preserve">0           </t>
        </is>
      </c>
      <c r="BJ28" s="49" t="inlineStr">
        <is>
          <t xml:space="preserve">NO APLICA                               </t>
        </is>
      </c>
      <c r="BK28" s="49" t="inlineStr">
        <is>
          <t>02</t>
        </is>
      </c>
      <c r="BL28" s="49" t="inlineStr">
        <is>
          <t xml:space="preserve">Caldas                                  </t>
        </is>
      </c>
      <c r="BM28" s="49" t="inlineStr">
        <is>
          <t>02</t>
        </is>
      </c>
      <c r="BN28" s="49" t="inlineStr">
        <is>
          <t xml:space="preserve">Supia                                   </t>
        </is>
      </c>
      <c r="BO28" s="49" t="inlineStr">
        <is>
          <t>0</t>
        </is>
      </c>
      <c r="BP28" s="49" t="inlineStr">
        <is>
          <t>NO APLICA</t>
        </is>
      </c>
      <c r="BQ28" s="49" t="inlineStr">
        <is>
          <t>0</t>
        </is>
      </c>
      <c r="BR28" s="49" t="inlineStr">
        <is>
          <t>NO APLICA</t>
        </is>
      </c>
      <c r="BS28" s="49" t="inlineStr">
        <is>
          <t>0</t>
        </is>
      </c>
      <c r="BT28" s="49" t="inlineStr">
        <is>
          <t>NO APLICA</t>
        </is>
      </c>
      <c r="BU28" s="49" t="inlineStr">
        <is>
          <t>0</t>
        </is>
      </c>
      <c r="BV28" s="49" t="inlineStr">
        <is>
          <t>NO APLICA</t>
        </is>
      </c>
      <c r="BW28" s="49" t="inlineStr">
        <is>
          <t>No</t>
        </is>
      </c>
      <c r="BX28" s="49" t="inlineStr">
        <is>
          <t xml:space="preserve">No Aplica                     </t>
        </is>
      </c>
    </row>
    <row r="29" ht="22.5" customHeight="1">
      <c r="A29" s="49" t="n">
        <v>1053857485</v>
      </c>
      <c r="B29" s="49" t="inlineStr">
        <is>
          <t>019</t>
        </is>
      </c>
      <c r="C29" s="49" t="n">
        <v>1053857485</v>
      </c>
      <c r="D29" s="49" t="inlineStr">
        <is>
          <t>CC</t>
        </is>
      </c>
      <c r="E29" s="49" t="inlineStr">
        <is>
          <t>OROZCO RIOS JONATHAN</t>
        </is>
      </c>
      <c r="F29" s="49" t="inlineStr">
        <is>
          <t>M</t>
        </is>
      </c>
      <c r="G29" s="49" t="inlineStr">
        <is>
          <t xml:space="preserve">O  </t>
        </is>
      </c>
      <c r="H29" s="49" t="inlineStr">
        <is>
          <t>+</t>
        </is>
      </c>
      <c r="I29" s="49" t="inlineStr">
        <is>
          <t>SOLTERO</t>
        </is>
      </c>
      <c r="J29" s="49" t="inlineStr">
        <is>
          <t xml:space="preserve">MANIZALES                     </t>
        </is>
      </c>
      <c r="K29" s="49" t="n">
        <v>0</v>
      </c>
      <c r="L29" s="49" t="inlineStr">
        <is>
          <t>03/06/1997</t>
        </is>
      </c>
      <c r="M29" s="49" t="inlineStr">
        <is>
          <t xml:space="preserve">SUPIA                         </t>
        </is>
      </c>
      <c r="N29" s="49" t="inlineStr">
        <is>
          <t xml:space="preserve">3017180373          </t>
        </is>
      </c>
      <c r="O29" s="49" t="inlineStr">
        <is>
          <t>3017180373</t>
        </is>
      </c>
      <c r="P29" s="49" t="inlineStr">
        <is>
          <t xml:space="preserve">CALLE 101 # 33 - 45                     </t>
        </is>
      </c>
      <c r="Q29" s="49" t="inlineStr">
        <is>
          <t>orozcoriosjonathan@gmail.com</t>
        </is>
      </c>
      <c r="R29" s="49" t="inlineStr">
        <is>
          <t>COORDINADOR DE PROYECTOS</t>
        </is>
      </c>
      <c r="S29" s="108" t="n">
        <v>91.66666600000001</v>
      </c>
      <c r="T29" s="108" t="n">
        <v>0</v>
      </c>
      <c r="U29" s="108" t="n">
        <v>220</v>
      </c>
      <c r="V29" s="49" t="inlineStr">
        <is>
          <t>CONSIG. CTA AHORROS</t>
        </is>
      </c>
      <c r="W29" s="49" t="inlineStr">
        <is>
          <t xml:space="preserve">BANCO DAVIVIENDA S.A.         </t>
        </is>
      </c>
      <c r="X29" s="49" t="inlineStr">
        <is>
          <t xml:space="preserve">0550488439916575         </t>
        </is>
      </c>
      <c r="Y29" s="49" t="inlineStr">
        <is>
          <t xml:space="preserve">NO APLICA                     </t>
        </is>
      </c>
      <c r="Z29" s="49" t="inlineStr">
        <is>
          <t>CM0700-MIN</t>
        </is>
      </c>
      <c r="AA29" s="49" t="inlineStr">
        <is>
          <t>CM0700-MIN</t>
        </is>
      </c>
      <c r="AB29" s="49" t="inlineStr">
        <is>
          <t xml:space="preserve">01 </t>
        </is>
      </c>
      <c r="AC29" s="49" t="inlineStr">
        <is>
          <t xml:space="preserve">0               </t>
        </is>
      </c>
      <c r="AD29" s="49" t="inlineStr">
        <is>
          <t>LEY 50</t>
        </is>
      </c>
      <c r="AE29" s="49" t="inlineStr">
        <is>
          <t>No</t>
        </is>
      </c>
      <c r="AF29" s="49" t="inlineStr">
        <is>
          <t>Normal</t>
        </is>
      </c>
      <c r="AG29" s="49" t="n"/>
      <c r="AH29" s="49" t="inlineStr">
        <is>
          <t>Si</t>
        </is>
      </c>
      <c r="AI29" s="49" t="inlineStr">
        <is>
          <t xml:space="preserve">Normal              </t>
        </is>
      </c>
      <c r="AJ29" s="49" t="inlineStr">
        <is>
          <t xml:space="preserve">Quincenal                     </t>
        </is>
      </c>
      <c r="AK29" s="49" t="inlineStr">
        <is>
          <t>NO</t>
        </is>
      </c>
      <c r="AL29" s="49" t="inlineStr">
        <is>
          <t>NO</t>
        </is>
      </c>
      <c r="AM29" s="49" t="inlineStr">
        <is>
          <t>23/11/2021</t>
        </is>
      </c>
      <c r="AN29" s="49" t="n"/>
      <c r="AO29" s="49" t="n"/>
      <c r="AP29" s="49" t="inlineStr">
        <is>
          <t xml:space="preserve">NO APLICA                </t>
        </is>
      </c>
      <c r="AQ29" s="49" t="n">
        <v>51</v>
      </c>
      <c r="AR29" s="49" t="inlineStr">
        <is>
          <t>01</t>
        </is>
      </c>
      <c r="AS29" s="49" t="n">
        <v>1</v>
      </c>
      <c r="AT29" s="49" t="inlineStr">
        <is>
          <t>No</t>
        </is>
      </c>
      <c r="AU29" s="49" t="n">
        <v>0</v>
      </c>
      <c r="AV29" s="108" t="n">
        <v>0</v>
      </c>
      <c r="AW29" s="108" t="n">
        <v>393821</v>
      </c>
      <c r="AX29" s="108" t="n">
        <v>0</v>
      </c>
      <c r="AY29" s="49" t="inlineStr">
        <is>
          <t>No</t>
        </is>
      </c>
      <c r="AZ29" s="49" t="n">
        <v>295878</v>
      </c>
      <c r="BA29" s="49" t="inlineStr">
        <is>
          <t>SURA E.P.S.</t>
        </is>
      </c>
      <c r="BB29" s="49" t="inlineStr">
        <is>
          <t>PORVENIR A.F.P.</t>
        </is>
      </c>
      <c r="BC29" s="49" t="inlineStr">
        <is>
          <t>CCF DE CALDAS</t>
        </is>
      </c>
      <c r="BD29" s="49" t="inlineStr">
        <is>
          <t>RIESGOS PROFESIONALES COLMENA S.A.</t>
        </is>
      </c>
      <c r="BE29" s="49" t="inlineStr">
        <is>
          <t>FONDO NACIONAL DEL AHORRO</t>
        </is>
      </c>
      <c r="BF29" s="49" t="n">
        <v>6.96</v>
      </c>
      <c r="BG29" s="49" t="n">
        <v>220</v>
      </c>
      <c r="BH29" s="49" t="n">
        <v>15</v>
      </c>
      <c r="BI29" s="49" t="inlineStr">
        <is>
          <t xml:space="preserve">0           </t>
        </is>
      </c>
      <c r="BJ29" s="49" t="inlineStr">
        <is>
          <t xml:space="preserve">NO APLICA                               </t>
        </is>
      </c>
      <c r="BK29" s="49" t="inlineStr">
        <is>
          <t>02</t>
        </is>
      </c>
      <c r="BL29" s="49" t="inlineStr">
        <is>
          <t xml:space="preserve">Caldas                                  </t>
        </is>
      </c>
      <c r="BM29" s="49" t="inlineStr">
        <is>
          <t>02</t>
        </is>
      </c>
      <c r="BN29" s="49" t="inlineStr">
        <is>
          <t xml:space="preserve">Supia                                   </t>
        </is>
      </c>
      <c r="BO29" s="49" t="inlineStr">
        <is>
          <t>0</t>
        </is>
      </c>
      <c r="BP29" s="49" t="inlineStr">
        <is>
          <t>NO APLICA</t>
        </is>
      </c>
      <c r="BQ29" s="49" t="inlineStr">
        <is>
          <t>0</t>
        </is>
      </c>
      <c r="BR29" s="49" t="inlineStr">
        <is>
          <t>NO APLICA</t>
        </is>
      </c>
      <c r="BS29" s="49" t="inlineStr">
        <is>
          <t>0</t>
        </is>
      </c>
      <c r="BT29" s="49" t="inlineStr">
        <is>
          <t>NO APLICA</t>
        </is>
      </c>
      <c r="BU29" s="49" t="inlineStr">
        <is>
          <t>0</t>
        </is>
      </c>
      <c r="BV29" s="49" t="inlineStr">
        <is>
          <t>NO APLICA</t>
        </is>
      </c>
      <c r="BW29" s="49" t="inlineStr">
        <is>
          <t>No</t>
        </is>
      </c>
      <c r="BX29" s="49" t="inlineStr">
        <is>
          <t xml:space="preserve">No Aplica                     </t>
        </is>
      </c>
    </row>
    <row r="30" ht="15" customHeight="1">
      <c r="A30" s="49" t="n">
        <v>1053868509</v>
      </c>
      <c r="B30" s="49" t="inlineStr">
        <is>
          <t xml:space="preserve"> 118</t>
        </is>
      </c>
      <c r="C30" s="49" t="n">
        <v>1053868509</v>
      </c>
      <c r="D30" s="49" t="inlineStr">
        <is>
          <t>CC</t>
        </is>
      </c>
      <c r="E30" s="49" t="inlineStr">
        <is>
          <t>PARRA MOSQUERA JUAN DIEGO</t>
        </is>
      </c>
      <c r="F30" s="49" t="inlineStr">
        <is>
          <t>M</t>
        </is>
      </c>
      <c r="G30" s="49" t="inlineStr">
        <is>
          <t xml:space="preserve">A  </t>
        </is>
      </c>
      <c r="H30" s="49" t="inlineStr">
        <is>
          <t>+</t>
        </is>
      </c>
      <c r="I30" s="49" t="inlineStr">
        <is>
          <t>SOLTERO</t>
        </is>
      </c>
      <c r="J30" s="49" t="inlineStr">
        <is>
          <t xml:space="preserve">MANIZALES                     </t>
        </is>
      </c>
      <c r="K30" s="49" t="n">
        <v>0</v>
      </c>
      <c r="L30" s="49" t="inlineStr">
        <is>
          <t>02/02/1999</t>
        </is>
      </c>
      <c r="M30" s="49" t="inlineStr">
        <is>
          <t xml:space="preserve">SUPIA                         </t>
        </is>
      </c>
      <c r="N30" s="49" t="inlineStr">
        <is>
          <t xml:space="preserve">0000                </t>
        </is>
      </c>
      <c r="O30" s="49" t="inlineStr">
        <is>
          <t>3105583564</t>
        </is>
      </c>
      <c r="P30" s="49" t="inlineStr">
        <is>
          <t xml:space="preserve">CL 58 2421 </t>
        </is>
      </c>
      <c r="Q30" s="49" t="inlineStr">
        <is>
          <t>juanp4rr4@gmail.com</t>
        </is>
      </c>
      <c r="R30" s="49" t="inlineStr">
        <is>
          <t>GEOLOGO JUNIOR</t>
        </is>
      </c>
      <c r="S30" s="108" t="n">
        <v>91.66666600000001</v>
      </c>
      <c r="T30" s="108" t="n">
        <v>0</v>
      </c>
      <c r="U30" s="108" t="n">
        <v>220</v>
      </c>
      <c r="V30" s="49" t="inlineStr">
        <is>
          <t>CONSIG. CTA AHORROS</t>
        </is>
      </c>
      <c r="W30" s="49" t="inlineStr">
        <is>
          <t xml:space="preserve">BANCOLOMBIA S.A.              </t>
        </is>
      </c>
      <c r="X30" s="49" t="inlineStr">
        <is>
          <t xml:space="preserve">05900000400              </t>
        </is>
      </c>
      <c r="Y30" s="49" t="inlineStr">
        <is>
          <t xml:space="preserve">NO APLICA                     </t>
        </is>
      </c>
      <c r="Z30" s="49" t="inlineStr">
        <is>
          <t>CM0100-EXP</t>
        </is>
      </c>
      <c r="AA30" s="49" t="inlineStr">
        <is>
          <t>CM0100-EXP</t>
        </is>
      </c>
      <c r="AB30" s="49" t="inlineStr">
        <is>
          <t xml:space="preserve">01 </t>
        </is>
      </c>
      <c r="AC30" s="49" t="inlineStr">
        <is>
          <t xml:space="preserve">                </t>
        </is>
      </c>
      <c r="AD30" s="49" t="inlineStr">
        <is>
          <t>LEY 50</t>
        </is>
      </c>
      <c r="AE30" s="49" t="inlineStr">
        <is>
          <t>No</t>
        </is>
      </c>
      <c r="AF30" s="49" t="inlineStr">
        <is>
          <t>Normal</t>
        </is>
      </c>
      <c r="AG30" s="49" t="n"/>
      <c r="AH30" s="49" t="inlineStr">
        <is>
          <t>Si</t>
        </is>
      </c>
      <c r="AI30" s="49" t="inlineStr">
        <is>
          <t xml:space="preserve">Normal              </t>
        </is>
      </c>
      <c r="AJ30" s="49" t="inlineStr">
        <is>
          <t xml:space="preserve">Quincenal                     </t>
        </is>
      </c>
      <c r="AK30" s="49" t="inlineStr">
        <is>
          <t>NO</t>
        </is>
      </c>
      <c r="AL30" s="49" t="inlineStr">
        <is>
          <t>NO</t>
        </is>
      </c>
      <c r="AM30" s="49" t="inlineStr">
        <is>
          <t>03/06/2025</t>
        </is>
      </c>
      <c r="AN30" s="49" t="n"/>
      <c r="AO30" s="49" t="n"/>
      <c r="AP30" s="49" t="inlineStr">
        <is>
          <t xml:space="preserve">NO APLICA                </t>
        </is>
      </c>
      <c r="AQ30" s="49" t="n">
        <v>178</v>
      </c>
      <c r="AR30" s="49" t="inlineStr">
        <is>
          <t>01</t>
        </is>
      </c>
      <c r="AS30" s="49" t="n">
        <v>1</v>
      </c>
      <c r="AT30" s="49" t="inlineStr">
        <is>
          <t>No</t>
        </is>
      </c>
      <c r="AU30" s="49" t="n">
        <v>0</v>
      </c>
      <c r="AV30" s="108" t="n">
        <v>0</v>
      </c>
      <c r="AW30" s="108" t="n">
        <v>0</v>
      </c>
      <c r="AX30" s="108" t="n">
        <v>0</v>
      </c>
      <c r="AY30" s="49" t="inlineStr">
        <is>
          <t>No</t>
        </is>
      </c>
      <c r="AZ30" s="49" t="n">
        <v>0</v>
      </c>
      <c r="BA30" s="49" t="inlineStr">
        <is>
          <t>NUEVA E.P.S</t>
        </is>
      </c>
      <c r="BB30" s="49" t="inlineStr">
        <is>
          <t>COLPENSIONES - I.S.S. PENSION</t>
        </is>
      </c>
      <c r="BC30" s="49" t="inlineStr">
        <is>
          <t>CCF DE CALDAS</t>
        </is>
      </c>
      <c r="BD30" s="49" t="inlineStr">
        <is>
          <t>RIESGOS PROFESIONALES COLMENA S.A.</t>
        </is>
      </c>
      <c r="BE30" s="49" t="inlineStr">
        <is>
          <t>PORVENIR CESANTIAS</t>
        </is>
      </c>
      <c r="BF30" s="49" t="n">
        <v>6.96</v>
      </c>
      <c r="BG30" s="49" t="n">
        <v>220</v>
      </c>
      <c r="BH30" s="49" t="n">
        <v>15</v>
      </c>
      <c r="BI30" s="49" t="inlineStr">
        <is>
          <t xml:space="preserve">0           </t>
        </is>
      </c>
      <c r="BJ30" s="49" t="inlineStr">
        <is>
          <t xml:space="preserve">NO APLICA                               </t>
        </is>
      </c>
      <c r="BK30" s="49" t="inlineStr">
        <is>
          <t>02</t>
        </is>
      </c>
      <c r="BL30" s="49" t="inlineStr">
        <is>
          <t xml:space="preserve">Caldas                                  </t>
        </is>
      </c>
      <c r="BM30" s="49" t="inlineStr">
        <is>
          <t>02</t>
        </is>
      </c>
      <c r="BN30" s="49" t="inlineStr">
        <is>
          <t xml:space="preserve">Supia                                   </t>
        </is>
      </c>
      <c r="BO30" s="49" t="inlineStr">
        <is>
          <t>0</t>
        </is>
      </c>
      <c r="BP30" s="49" t="inlineStr">
        <is>
          <t>NO APLICA</t>
        </is>
      </c>
      <c r="BQ30" s="49" t="inlineStr">
        <is>
          <t>0</t>
        </is>
      </c>
      <c r="BR30" s="49" t="inlineStr">
        <is>
          <t>NO APLICA</t>
        </is>
      </c>
      <c r="BS30" s="49" t="inlineStr">
        <is>
          <t>0</t>
        </is>
      </c>
      <c r="BT30" s="49" t="inlineStr">
        <is>
          <t>NO APLICA</t>
        </is>
      </c>
      <c r="BU30" s="49" t="inlineStr">
        <is>
          <t>0</t>
        </is>
      </c>
      <c r="BV30" s="49" t="inlineStr">
        <is>
          <t>NO APLICA</t>
        </is>
      </c>
      <c r="BW30" s="49" t="inlineStr">
        <is>
          <t>No</t>
        </is>
      </c>
      <c r="BX30" s="49" t="inlineStr">
        <is>
          <t xml:space="preserve">No Aplica                     </t>
        </is>
      </c>
    </row>
    <row r="31" ht="30" customHeight="1">
      <c r="A31" s="49" t="n">
        <v>1053871088</v>
      </c>
      <c r="B31" s="49" t="inlineStr">
        <is>
          <t xml:space="preserve"> 133</t>
        </is>
      </c>
      <c r="C31" s="49" t="n">
        <v>1053871088</v>
      </c>
      <c r="D31" s="49" t="inlineStr">
        <is>
          <t>CC</t>
        </is>
      </c>
      <c r="E31" s="49" t="inlineStr">
        <is>
          <t>ALVAREZ HURTADO ANGELA MARCELA</t>
        </is>
      </c>
      <c r="F31" s="49" t="inlineStr">
        <is>
          <t>F</t>
        </is>
      </c>
      <c r="G31" s="49" t="inlineStr">
        <is>
          <t xml:space="preserve">A  </t>
        </is>
      </c>
      <c r="H31" s="49" t="inlineStr">
        <is>
          <t>+</t>
        </is>
      </c>
      <c r="I31" s="49" t="inlineStr">
        <is>
          <t>SOLTERO</t>
        </is>
      </c>
      <c r="J31" s="49" t="inlineStr">
        <is>
          <t xml:space="preserve">MANIZALES                     </t>
        </is>
      </c>
      <c r="K31" s="49" t="n">
        <v>0</v>
      </c>
      <c r="L31" s="49" t="inlineStr">
        <is>
          <t>02/07/1999</t>
        </is>
      </c>
      <c r="M31" s="49" t="inlineStr">
        <is>
          <t xml:space="preserve">SUPIA                         </t>
        </is>
      </c>
      <c r="N31" s="49" t="inlineStr">
        <is>
          <t xml:space="preserve">0000                </t>
        </is>
      </c>
      <c r="O31" s="49" t="inlineStr">
        <is>
          <t xml:space="preserve">3192586830   </t>
        </is>
      </c>
      <c r="P31" s="49" t="inlineStr">
        <is>
          <t>CR 19  64a  194</t>
        </is>
      </c>
      <c r="Q31" s="49" t="inlineStr">
        <is>
          <t xml:space="preserve">angelaahur99@gmail.com          </t>
        </is>
      </c>
      <c r="R31" s="49" t="inlineStr">
        <is>
          <t>COORDINADORA DE COMUNICACIONES</t>
        </is>
      </c>
      <c r="S31" s="108" t="n">
        <v>91.66666600000001</v>
      </c>
      <c r="T31" s="108" t="n">
        <v>0</v>
      </c>
      <c r="U31" s="108" t="n">
        <v>220</v>
      </c>
      <c r="V31" s="49" t="inlineStr">
        <is>
          <t>CONSIG. CTA AHORROS</t>
        </is>
      </c>
      <c r="W31" s="49" t="inlineStr">
        <is>
          <t xml:space="preserve">BANCOLOMBIA S.A.              </t>
        </is>
      </c>
      <c r="X31" s="49" t="inlineStr">
        <is>
          <t xml:space="preserve">85900021211              </t>
        </is>
      </c>
      <c r="Y31" s="49" t="inlineStr">
        <is>
          <t xml:space="preserve">NO APLICA                     </t>
        </is>
      </c>
      <c r="Z31" s="49" t="inlineStr">
        <is>
          <t>CM0602-XAC</t>
        </is>
      </c>
      <c r="AA31" s="49" t="inlineStr">
        <is>
          <t>CM0602-XAC</t>
        </is>
      </c>
      <c r="AB31" s="49" t="inlineStr">
        <is>
          <t xml:space="preserve">01 </t>
        </is>
      </c>
      <c r="AC31" s="49" t="inlineStr">
        <is>
          <t xml:space="preserve">                </t>
        </is>
      </c>
      <c r="AD31" s="49" t="inlineStr">
        <is>
          <t>LEY 50</t>
        </is>
      </c>
      <c r="AE31" s="49" t="inlineStr">
        <is>
          <t>No</t>
        </is>
      </c>
      <c r="AF31" s="49" t="inlineStr">
        <is>
          <t>Normal</t>
        </is>
      </c>
      <c r="AG31" s="49" t="n"/>
      <c r="AH31" s="49" t="inlineStr">
        <is>
          <t>Si</t>
        </is>
      </c>
      <c r="AI31" s="49" t="inlineStr">
        <is>
          <t xml:space="preserve">Normal              </t>
        </is>
      </c>
      <c r="AJ31" s="49" t="inlineStr">
        <is>
          <t xml:space="preserve">Quincenal                     </t>
        </is>
      </c>
      <c r="AK31" s="49" t="inlineStr">
        <is>
          <t>NO</t>
        </is>
      </c>
      <c r="AL31" s="49" t="inlineStr">
        <is>
          <t>NO</t>
        </is>
      </c>
      <c r="AM31" s="49" t="inlineStr">
        <is>
          <t>04/08/2025</t>
        </is>
      </c>
      <c r="AN31" s="49" t="n"/>
      <c r="AO31" s="49" t="n"/>
      <c r="AP31" s="49" t="inlineStr">
        <is>
          <t xml:space="preserve">NO APLICA                </t>
        </is>
      </c>
      <c r="AQ31" s="49" t="n">
        <v>193</v>
      </c>
      <c r="AR31" s="49" t="inlineStr">
        <is>
          <t>01</t>
        </is>
      </c>
      <c r="AS31" s="49" t="n">
        <v>1</v>
      </c>
      <c r="AT31" s="49" t="inlineStr">
        <is>
          <t>No</t>
        </is>
      </c>
      <c r="AU31" s="49" t="n">
        <v>0</v>
      </c>
      <c r="AV31" s="108" t="n">
        <v>0</v>
      </c>
      <c r="AW31" s="108" t="n">
        <v>0</v>
      </c>
      <c r="AX31" s="108" t="n">
        <v>0</v>
      </c>
      <c r="AY31" s="49" t="inlineStr">
        <is>
          <t>No</t>
        </is>
      </c>
      <c r="AZ31" s="49" t="n">
        <v>0</v>
      </c>
      <c r="BA31" s="49" t="inlineStr">
        <is>
          <t>SURA E.P.S.</t>
        </is>
      </c>
      <c r="BB31" s="49" t="inlineStr">
        <is>
          <t>PROTECCION A.F.P</t>
        </is>
      </c>
      <c r="BC31" s="49" t="inlineStr">
        <is>
          <t>CCF DE CALDAS</t>
        </is>
      </c>
      <c r="BD31" s="49" t="inlineStr">
        <is>
          <t>RIESGOS PROFESIONALES COLMENA S.A.</t>
        </is>
      </c>
      <c r="BE31" s="49" t="inlineStr">
        <is>
          <t>PROTECCION CESANTIAS</t>
        </is>
      </c>
      <c r="BF31" s="49" t="n">
        <v>0.522</v>
      </c>
      <c r="BG31" s="49" t="n">
        <v>220</v>
      </c>
      <c r="BH31" s="49" t="n">
        <v>15</v>
      </c>
      <c r="BI31" s="49" t="inlineStr">
        <is>
          <t xml:space="preserve">0           </t>
        </is>
      </c>
      <c r="BJ31" s="49" t="inlineStr">
        <is>
          <t xml:space="preserve">NO APLICA                               </t>
        </is>
      </c>
      <c r="BK31" s="49" t="inlineStr">
        <is>
          <t>02</t>
        </is>
      </c>
      <c r="BL31" s="49" t="inlineStr">
        <is>
          <t xml:space="preserve">Caldas                                  </t>
        </is>
      </c>
      <c r="BM31" s="49" t="inlineStr">
        <is>
          <t>02</t>
        </is>
      </c>
      <c r="BN31" s="49" t="inlineStr">
        <is>
          <t xml:space="preserve">Supia                                   </t>
        </is>
      </c>
      <c r="BO31" s="49" t="inlineStr">
        <is>
          <t>0</t>
        </is>
      </c>
      <c r="BP31" s="49" t="inlineStr">
        <is>
          <t>NO APLICA</t>
        </is>
      </c>
      <c r="BQ31" s="49" t="inlineStr">
        <is>
          <t>0</t>
        </is>
      </c>
      <c r="BR31" s="49" t="inlineStr">
        <is>
          <t>NO APLICA</t>
        </is>
      </c>
      <c r="BS31" s="49" t="inlineStr">
        <is>
          <t>0</t>
        </is>
      </c>
      <c r="BT31" s="49" t="inlineStr">
        <is>
          <t>NO APLICA</t>
        </is>
      </c>
      <c r="BU31" s="49" t="inlineStr">
        <is>
          <t>0</t>
        </is>
      </c>
      <c r="BV31" s="49" t="inlineStr">
        <is>
          <t>NO APLICA</t>
        </is>
      </c>
      <c r="BW31" s="49" t="inlineStr">
        <is>
          <t>No</t>
        </is>
      </c>
      <c r="BX31" s="49" t="inlineStr">
        <is>
          <t xml:space="preserve">No Aplica                     </t>
        </is>
      </c>
    </row>
    <row r="32" ht="15" customHeight="1">
      <c r="A32" s="49" t="n">
        <v>1053871279</v>
      </c>
      <c r="B32" s="49" t="inlineStr">
        <is>
          <t xml:space="preserve"> 160</t>
        </is>
      </c>
      <c r="C32" s="49" t="n">
        <v>1053871279</v>
      </c>
      <c r="D32" s="49" t="inlineStr">
        <is>
          <t>CC</t>
        </is>
      </c>
      <c r="E32" s="49" t="inlineStr">
        <is>
          <t>LOPEZ GIRALDO MARIANA</t>
        </is>
      </c>
      <c r="F32" s="49" t="inlineStr">
        <is>
          <t>F</t>
        </is>
      </c>
      <c r="G32" s="49" t="inlineStr">
        <is>
          <t xml:space="preserve">A  </t>
        </is>
      </c>
      <c r="H32" s="49" t="inlineStr">
        <is>
          <t>+</t>
        </is>
      </c>
      <c r="I32" s="49" t="inlineStr">
        <is>
          <t>SOLTERO</t>
        </is>
      </c>
      <c r="J32" s="49" t="inlineStr">
        <is>
          <t xml:space="preserve">MANIZALES                     </t>
        </is>
      </c>
      <c r="K32" s="49" t="n">
        <v>0</v>
      </c>
      <c r="L32" s="49" t="inlineStr">
        <is>
          <t>16/07/1999</t>
        </is>
      </c>
      <c r="M32" s="49" t="inlineStr">
        <is>
          <t xml:space="preserve">MANIZALES                     </t>
        </is>
      </c>
      <c r="N32" s="49" t="inlineStr">
        <is>
          <t xml:space="preserve">0000                </t>
        </is>
      </c>
      <c r="O32" s="49" t="inlineStr">
        <is>
          <t>3113369564</t>
        </is>
      </c>
      <c r="P32" s="49" t="inlineStr">
        <is>
          <t>CR 21 64a-33  AP 1303</t>
        </is>
      </c>
      <c r="Q32" s="49" t="inlineStr">
        <is>
          <t>mariana.lopezg@hotmail.com</t>
        </is>
      </c>
      <c r="R32" s="49" t="inlineStr">
        <is>
          <t>ABOGADA LEGAL</t>
        </is>
      </c>
      <c r="S32" s="108" t="n">
        <v>91.66666600000001</v>
      </c>
      <c r="T32" s="108" t="n">
        <v>0</v>
      </c>
      <c r="U32" s="108" t="n">
        <v>220</v>
      </c>
      <c r="V32" s="49" t="inlineStr">
        <is>
          <t>CONSIG. CTA AHORROS</t>
        </is>
      </c>
      <c r="W32" s="49" t="inlineStr">
        <is>
          <t xml:space="preserve">BBVA COLOMBIA                 </t>
        </is>
      </c>
      <c r="X32" s="49" t="inlineStr">
        <is>
          <t xml:space="preserve">638406991                </t>
        </is>
      </c>
      <c r="Y32" s="49" t="inlineStr">
        <is>
          <t xml:space="preserve">NO APLICA                     </t>
        </is>
      </c>
      <c r="Z32" s="49" t="inlineStr">
        <is>
          <t>CM0603-LEG</t>
        </is>
      </c>
      <c r="AA32" s="49" t="inlineStr">
        <is>
          <t>CM0603-LEG</t>
        </is>
      </c>
      <c r="AB32" s="49" t="inlineStr">
        <is>
          <t xml:space="preserve">01 </t>
        </is>
      </c>
      <c r="AC32" s="49" t="inlineStr">
        <is>
          <t xml:space="preserve">                </t>
        </is>
      </c>
      <c r="AD32" s="49" t="inlineStr">
        <is>
          <t>LEY 50</t>
        </is>
      </c>
      <c r="AE32" s="49" t="inlineStr">
        <is>
          <t>No</t>
        </is>
      </c>
      <c r="AF32" s="49" t="inlineStr">
        <is>
          <t>Normal</t>
        </is>
      </c>
      <c r="AG32" s="49" t="n"/>
      <c r="AH32" s="49" t="inlineStr">
        <is>
          <t>Si</t>
        </is>
      </c>
      <c r="AI32" s="49" t="inlineStr">
        <is>
          <t xml:space="preserve">Normal              </t>
        </is>
      </c>
      <c r="AJ32" s="49" t="inlineStr">
        <is>
          <t xml:space="preserve">Quincenal                     </t>
        </is>
      </c>
      <c r="AK32" s="49" t="inlineStr">
        <is>
          <t>NO</t>
        </is>
      </c>
      <c r="AL32" s="49" t="inlineStr">
        <is>
          <t>NO</t>
        </is>
      </c>
      <c r="AM32" s="49" t="inlineStr">
        <is>
          <t>26/01/2026</t>
        </is>
      </c>
      <c r="AN32" s="49" t="n"/>
      <c r="AO32" s="49" t="n"/>
      <c r="AP32" s="49" t="inlineStr">
        <is>
          <t xml:space="preserve">NO APLICA                </t>
        </is>
      </c>
      <c r="AQ32" s="49" t="n">
        <v>219</v>
      </c>
      <c r="AR32" s="49" t="inlineStr">
        <is>
          <t>01</t>
        </is>
      </c>
      <c r="AS32" s="49" t="n">
        <v>1</v>
      </c>
      <c r="AT32" s="49" t="inlineStr">
        <is>
          <t>No</t>
        </is>
      </c>
      <c r="AU32" s="49" t="n">
        <v>0</v>
      </c>
      <c r="AV32" s="108" t="n">
        <v>0</v>
      </c>
      <c r="AW32" s="108" t="n">
        <v>0</v>
      </c>
      <c r="AX32" s="108" t="n">
        <v>0</v>
      </c>
      <c r="AY32" s="49" t="inlineStr">
        <is>
          <t>No</t>
        </is>
      </c>
      <c r="AZ32" s="49" t="n">
        <v>0</v>
      </c>
      <c r="BA32" s="49" t="inlineStr">
        <is>
          <t>SURA E.P.S.</t>
        </is>
      </c>
      <c r="BB32" s="49" t="inlineStr">
        <is>
          <t>COLPENSIONES - I.S.S. PENSION</t>
        </is>
      </c>
      <c r="BC32" s="49" t="inlineStr">
        <is>
          <t>CCF DE CALDAS</t>
        </is>
      </c>
      <c r="BD32" s="49" t="inlineStr">
        <is>
          <t>RIESGOS PROFESIONALES COLMENA S.A.</t>
        </is>
      </c>
      <c r="BE32" s="49" t="inlineStr">
        <is>
          <t>PORVENIR CESANTIAS</t>
        </is>
      </c>
      <c r="BF32" s="49" t="n">
        <v>0.522</v>
      </c>
      <c r="BG32" s="49" t="n">
        <v>220</v>
      </c>
      <c r="BH32" s="49" t="n">
        <v>15</v>
      </c>
      <c r="BI32" s="49" t="inlineStr">
        <is>
          <t xml:space="preserve">0           </t>
        </is>
      </c>
      <c r="BJ32" s="49" t="inlineStr">
        <is>
          <t xml:space="preserve">NO APLICA                               </t>
        </is>
      </c>
      <c r="BK32" s="49" t="inlineStr">
        <is>
          <t>02</t>
        </is>
      </c>
      <c r="BL32" s="49" t="inlineStr">
        <is>
          <t xml:space="preserve">Caldas                                  </t>
        </is>
      </c>
      <c r="BM32" s="49" t="inlineStr">
        <is>
          <t>02</t>
        </is>
      </c>
      <c r="BN32" s="49" t="inlineStr">
        <is>
          <t xml:space="preserve">Supia                                   </t>
        </is>
      </c>
      <c r="BO32" s="49" t="inlineStr">
        <is>
          <t>0</t>
        </is>
      </c>
      <c r="BP32" s="49" t="inlineStr">
        <is>
          <t>NO APLICA</t>
        </is>
      </c>
      <c r="BQ32" s="49" t="inlineStr">
        <is>
          <t>0</t>
        </is>
      </c>
      <c r="BR32" s="49" t="inlineStr">
        <is>
          <t>NO APLICA</t>
        </is>
      </c>
      <c r="BS32" s="49" t="inlineStr">
        <is>
          <t>0</t>
        </is>
      </c>
      <c r="BT32" s="49" t="inlineStr">
        <is>
          <t>NO APLICA</t>
        </is>
      </c>
      <c r="BU32" s="49" t="inlineStr">
        <is>
          <t>0</t>
        </is>
      </c>
      <c r="BV32" s="49" t="inlineStr">
        <is>
          <t>NO APLICA</t>
        </is>
      </c>
      <c r="BW32" s="49" t="inlineStr">
        <is>
          <t>No</t>
        </is>
      </c>
      <c r="BX32" s="49" t="inlineStr">
        <is>
          <t xml:space="preserve">No Aplica                     </t>
        </is>
      </c>
    </row>
    <row r="33" ht="15" customHeight="1">
      <c r="A33" s="49" t="n">
        <v>1053872960</v>
      </c>
      <c r="B33" s="49" t="inlineStr">
        <is>
          <t xml:space="preserve"> 139</t>
        </is>
      </c>
      <c r="C33" s="49" t="n">
        <v>1053872960</v>
      </c>
      <c r="D33" s="49" t="inlineStr">
        <is>
          <t>CC</t>
        </is>
      </c>
      <c r="E33" s="49" t="inlineStr">
        <is>
          <t>RESTREPO RENDON LUISA MARIA</t>
        </is>
      </c>
      <c r="F33" s="49" t="inlineStr">
        <is>
          <t>F</t>
        </is>
      </c>
      <c r="G33" s="49" t="inlineStr">
        <is>
          <t xml:space="preserve">A  </t>
        </is>
      </c>
      <c r="H33" s="49" t="inlineStr">
        <is>
          <t>+</t>
        </is>
      </c>
      <c r="I33" s="49" t="inlineStr">
        <is>
          <t>SOLTERO</t>
        </is>
      </c>
      <c r="J33" s="49" t="inlineStr">
        <is>
          <t xml:space="preserve">MANIZALES                     </t>
        </is>
      </c>
      <c r="K33" s="49" t="n">
        <v>0</v>
      </c>
      <c r="L33" s="49" t="inlineStr">
        <is>
          <t>17/09/1999</t>
        </is>
      </c>
      <c r="M33" s="49" t="inlineStr">
        <is>
          <t xml:space="preserve">SUPIA                         </t>
        </is>
      </c>
      <c r="N33" s="49" t="inlineStr">
        <is>
          <t xml:space="preserve">NA                  </t>
        </is>
      </c>
      <c r="O33" s="49" t="inlineStr">
        <is>
          <t>3229643970</t>
        </is>
      </c>
      <c r="P33" s="49" t="inlineStr">
        <is>
          <t>CL 12  2 69</t>
        </is>
      </c>
      <c r="Q33" s="49" t="inlineStr">
        <is>
          <t>luisarestreporendon@gmail.com</t>
        </is>
      </c>
      <c r="R33" s="49" t="inlineStr">
        <is>
          <t>GEOLOGO JUNIOR</t>
        </is>
      </c>
      <c r="S33" s="108" t="n">
        <v>91.66666600000001</v>
      </c>
      <c r="T33" s="108" t="n">
        <v>0</v>
      </c>
      <c r="U33" s="108" t="n">
        <v>220</v>
      </c>
      <c r="V33" s="49" t="inlineStr">
        <is>
          <t>CONSIG. CTA AHORROS</t>
        </is>
      </c>
      <c r="W33" s="49" t="inlineStr">
        <is>
          <t xml:space="preserve">BANCO DE BOGOTÁ               </t>
        </is>
      </c>
      <c r="X33" s="49" t="inlineStr">
        <is>
          <t xml:space="preserve">000466763                </t>
        </is>
      </c>
      <c r="Y33" s="49" t="inlineStr">
        <is>
          <t xml:space="preserve">NO APLICA                     </t>
        </is>
      </c>
      <c r="Z33" s="49" t="inlineStr">
        <is>
          <t>CM0700-MIN</t>
        </is>
      </c>
      <c r="AA33" s="49" t="inlineStr">
        <is>
          <t>CM0700-MIN</t>
        </is>
      </c>
      <c r="AB33" s="49" t="inlineStr">
        <is>
          <t xml:space="preserve">01 </t>
        </is>
      </c>
      <c r="AC33" s="49" t="inlineStr">
        <is>
          <t xml:space="preserve">                </t>
        </is>
      </c>
      <c r="AD33" s="49" t="inlineStr">
        <is>
          <t>LEY 50</t>
        </is>
      </c>
      <c r="AE33" s="49" t="inlineStr">
        <is>
          <t>No</t>
        </is>
      </c>
      <c r="AF33" s="49" t="inlineStr">
        <is>
          <t>Normal</t>
        </is>
      </c>
      <c r="AG33" s="49" t="n"/>
      <c r="AH33" s="49" t="inlineStr">
        <is>
          <t>Si</t>
        </is>
      </c>
      <c r="AI33" s="49" t="inlineStr">
        <is>
          <t xml:space="preserve">Normal              </t>
        </is>
      </c>
      <c r="AJ33" s="49" t="inlineStr">
        <is>
          <t xml:space="preserve">Quincenal                     </t>
        </is>
      </c>
      <c r="AK33" s="49" t="inlineStr">
        <is>
          <t>NO</t>
        </is>
      </c>
      <c r="AL33" s="49" t="inlineStr">
        <is>
          <t>NO</t>
        </is>
      </c>
      <c r="AM33" s="49" t="inlineStr">
        <is>
          <t>14/10/2025</t>
        </is>
      </c>
      <c r="AN33" s="49" t="n"/>
      <c r="AO33" s="49" t="n"/>
      <c r="AP33" s="49" t="inlineStr">
        <is>
          <t xml:space="preserve">NO APLICA                </t>
        </is>
      </c>
      <c r="AQ33" s="49" t="n">
        <v>203</v>
      </c>
      <c r="AR33" s="49" t="inlineStr">
        <is>
          <t>01</t>
        </is>
      </c>
      <c r="AS33" s="49" t="n">
        <v>1</v>
      </c>
      <c r="AT33" s="49" t="inlineStr">
        <is>
          <t>No</t>
        </is>
      </c>
      <c r="AU33" s="49" t="n">
        <v>0</v>
      </c>
      <c r="AV33" s="108" t="n">
        <v>0</v>
      </c>
      <c r="AW33" s="108" t="n">
        <v>0</v>
      </c>
      <c r="AX33" s="108" t="n">
        <v>0</v>
      </c>
      <c r="AY33" s="49" t="inlineStr">
        <is>
          <t>No</t>
        </is>
      </c>
      <c r="AZ33" s="49" t="n">
        <v>0</v>
      </c>
      <c r="BA33" s="49" t="inlineStr">
        <is>
          <t>SURA E.P.S.</t>
        </is>
      </c>
      <c r="BB33" s="49" t="inlineStr">
        <is>
          <t>COLPENSIONES - I.S.S. PENSION</t>
        </is>
      </c>
      <c r="BC33" s="49" t="inlineStr">
        <is>
          <t>CCF DE CALDAS</t>
        </is>
      </c>
      <c r="BD33" s="49" t="inlineStr">
        <is>
          <t>RIESGOS PROFESIONALES COLMENA S.A.</t>
        </is>
      </c>
      <c r="BE33" s="49" t="inlineStr">
        <is>
          <t>PROTECCION CESANTIAS</t>
        </is>
      </c>
      <c r="BF33" s="49" t="n">
        <v>6.96</v>
      </c>
      <c r="BG33" s="49" t="n">
        <v>220</v>
      </c>
      <c r="BH33" s="49" t="n">
        <v>15</v>
      </c>
      <c r="BI33" s="49" t="inlineStr">
        <is>
          <t xml:space="preserve">0           </t>
        </is>
      </c>
      <c r="BJ33" s="49" t="inlineStr">
        <is>
          <t xml:space="preserve">NO APLICA                               </t>
        </is>
      </c>
      <c r="BK33" s="49" t="inlineStr">
        <is>
          <t>02</t>
        </is>
      </c>
      <c r="BL33" s="49" t="inlineStr">
        <is>
          <t xml:space="preserve">Caldas                                  </t>
        </is>
      </c>
      <c r="BM33" s="49" t="inlineStr">
        <is>
          <t>02</t>
        </is>
      </c>
      <c r="BN33" s="49" t="inlineStr">
        <is>
          <t xml:space="preserve">Supia                                   </t>
        </is>
      </c>
      <c r="BO33" s="49" t="inlineStr">
        <is>
          <t>0</t>
        </is>
      </c>
      <c r="BP33" s="49" t="inlineStr">
        <is>
          <t>NO APLICA</t>
        </is>
      </c>
      <c r="BQ33" s="49" t="inlineStr">
        <is>
          <t>0</t>
        </is>
      </c>
      <c r="BR33" s="49" t="inlineStr">
        <is>
          <t>NO APLICA</t>
        </is>
      </c>
      <c r="BS33" s="49" t="inlineStr">
        <is>
          <t>0</t>
        </is>
      </c>
      <c r="BT33" s="49" t="inlineStr">
        <is>
          <t>NO APLICA</t>
        </is>
      </c>
      <c r="BU33" s="49" t="inlineStr">
        <is>
          <t>0</t>
        </is>
      </c>
      <c r="BV33" s="49" t="inlineStr">
        <is>
          <t>NO APLICA</t>
        </is>
      </c>
      <c r="BW33" s="49" t="inlineStr">
        <is>
          <t>No</t>
        </is>
      </c>
      <c r="BX33" s="49" t="inlineStr">
        <is>
          <t xml:space="preserve">No Aplica                     </t>
        </is>
      </c>
    </row>
    <row r="34" ht="22.5" customHeight="1">
      <c r="A34" s="49" t="n">
        <v>1054990613</v>
      </c>
      <c r="B34" s="49" t="inlineStr">
        <is>
          <t>057</t>
        </is>
      </c>
      <c r="C34" s="49" t="n">
        <v>1054990613</v>
      </c>
      <c r="D34" s="49" t="inlineStr">
        <is>
          <t>CC</t>
        </is>
      </c>
      <c r="E34" s="49" t="inlineStr">
        <is>
          <t>SANTANA PEREZ JULIANA ANDREA</t>
        </is>
      </c>
      <c r="F34" s="49" t="inlineStr">
        <is>
          <t>F</t>
        </is>
      </c>
      <c r="G34" s="49" t="inlineStr">
        <is>
          <t xml:space="preserve">A  </t>
        </is>
      </c>
      <c r="H34" s="49" t="inlineStr">
        <is>
          <t>+</t>
        </is>
      </c>
      <c r="I34" s="49" t="inlineStr">
        <is>
          <t>SOLTERO</t>
        </is>
      </c>
      <c r="J34" s="49" t="inlineStr">
        <is>
          <t xml:space="preserve">CHINCHINA                     </t>
        </is>
      </c>
      <c r="K34" s="49" t="n">
        <v>0</v>
      </c>
      <c r="L34" s="49" t="inlineStr">
        <is>
          <t>07/02/1990</t>
        </is>
      </c>
      <c r="M34" s="49" t="inlineStr">
        <is>
          <t xml:space="preserve">MANIZALES                     </t>
        </is>
      </c>
      <c r="N34" s="49" t="inlineStr">
        <is>
          <t xml:space="preserve">3147177428          </t>
        </is>
      </c>
      <c r="O34" s="49" t="inlineStr">
        <is>
          <t>3014401023</t>
        </is>
      </c>
      <c r="P34" s="49" t="inlineStr">
        <is>
          <t>CL 18  7 12</t>
        </is>
      </c>
      <c r="Q34" s="49" t="inlineStr">
        <is>
          <t>julisanta9002@hotmail.com</t>
        </is>
      </c>
      <c r="R34" s="49" t="inlineStr">
        <is>
          <t>JEFE DE TALENTO HUMANO</t>
        </is>
      </c>
      <c r="S34" s="108" t="n">
        <v>91.66666600000001</v>
      </c>
      <c r="T34" s="108" t="n">
        <v>0</v>
      </c>
      <c r="U34" s="108" t="n">
        <v>220</v>
      </c>
      <c r="V34" s="49" t="inlineStr">
        <is>
          <t>CONSIG. CTA AHORROS</t>
        </is>
      </c>
      <c r="W34" s="49" t="inlineStr">
        <is>
          <t xml:space="preserve">BANCO DAVIVIENDA S.A.         </t>
        </is>
      </c>
      <c r="X34" s="49" t="inlineStr">
        <is>
          <t xml:space="preserve">084600014074             </t>
        </is>
      </c>
      <c r="Y34" s="49" t="inlineStr">
        <is>
          <t xml:space="preserve">NO APLICA                     </t>
        </is>
      </c>
      <c r="Z34" s="49" t="inlineStr">
        <is>
          <t>CM0601-HUR</t>
        </is>
      </c>
      <c r="AA34" s="49" t="inlineStr">
        <is>
          <t>CM0601-HUR</t>
        </is>
      </c>
      <c r="AB34" s="49" t="inlineStr">
        <is>
          <t xml:space="preserve">01 </t>
        </is>
      </c>
      <c r="AC34" s="49" t="inlineStr">
        <is>
          <t xml:space="preserve">                </t>
        </is>
      </c>
      <c r="AD34" s="49" t="inlineStr">
        <is>
          <t>LEY 50</t>
        </is>
      </c>
      <c r="AE34" s="49" t="inlineStr">
        <is>
          <t>No</t>
        </is>
      </c>
      <c r="AF34" s="49" t="inlineStr">
        <is>
          <t>Normal</t>
        </is>
      </c>
      <c r="AG34" s="49" t="n"/>
      <c r="AH34" s="49" t="inlineStr">
        <is>
          <t>Si</t>
        </is>
      </c>
      <c r="AI34" s="49" t="inlineStr">
        <is>
          <t xml:space="preserve">Normal              </t>
        </is>
      </c>
      <c r="AJ34" s="49" t="inlineStr">
        <is>
          <t xml:space="preserve">Quincenal                     </t>
        </is>
      </c>
      <c r="AK34" s="49" t="inlineStr">
        <is>
          <t>NO</t>
        </is>
      </c>
      <c r="AL34" s="49" t="inlineStr">
        <is>
          <t>NO</t>
        </is>
      </c>
      <c r="AM34" s="49" t="inlineStr">
        <is>
          <t>20/06/2023</t>
        </is>
      </c>
      <c r="AN34" s="49" t="n"/>
      <c r="AO34" s="49" t="n"/>
      <c r="AP34" s="49" t="inlineStr">
        <is>
          <t xml:space="preserve">NO APLICA                </t>
        </is>
      </c>
      <c r="AQ34" s="49" t="n">
        <v>99</v>
      </c>
      <c r="AR34" s="49" t="inlineStr">
        <is>
          <t>01</t>
        </is>
      </c>
      <c r="AS34" s="49" t="n">
        <v>1</v>
      </c>
      <c r="AT34" s="49" t="inlineStr">
        <is>
          <t>No</t>
        </is>
      </c>
      <c r="AU34" s="49" t="n">
        <v>0</v>
      </c>
      <c r="AV34" s="108" t="n">
        <v>0</v>
      </c>
      <c r="AW34" s="108" t="n">
        <v>395369</v>
      </c>
      <c r="AX34" s="108" t="n">
        <v>1</v>
      </c>
      <c r="AY34" s="49" t="inlineStr">
        <is>
          <t>No</t>
        </is>
      </c>
      <c r="AZ34" s="49" t="n">
        <v>227440</v>
      </c>
      <c r="BA34" s="49" t="inlineStr">
        <is>
          <t>SALUD TOTAL E.P.S.</t>
        </is>
      </c>
      <c r="BB34" s="49" t="inlineStr">
        <is>
          <t>PORVENIR A.F.P.</t>
        </is>
      </c>
      <c r="BC34" s="49" t="inlineStr">
        <is>
          <t>CCF DE CALDAS</t>
        </is>
      </c>
      <c r="BD34" s="49" t="inlineStr">
        <is>
          <t>RIESGOS PROFESIONALES COLMENA S.A.</t>
        </is>
      </c>
      <c r="BE34" s="49" t="inlineStr">
        <is>
          <t>PORVENIR CESANTIAS</t>
        </is>
      </c>
      <c r="BF34" s="49" t="n">
        <v>0.522</v>
      </c>
      <c r="BG34" s="49" t="n">
        <v>220</v>
      </c>
      <c r="BH34" s="49" t="n">
        <v>15</v>
      </c>
      <c r="BI34" s="49" t="inlineStr">
        <is>
          <t xml:space="preserve">0           </t>
        </is>
      </c>
      <c r="BJ34" s="49" t="inlineStr">
        <is>
          <t xml:space="preserve">NO APLICA                               </t>
        </is>
      </c>
      <c r="BK34" s="49" t="inlineStr">
        <is>
          <t>02</t>
        </is>
      </c>
      <c r="BL34" s="49" t="inlineStr">
        <is>
          <t xml:space="preserve">Caldas                                  </t>
        </is>
      </c>
      <c r="BM34" s="49" t="inlineStr">
        <is>
          <t>04</t>
        </is>
      </c>
      <c r="BN34" s="49" t="inlineStr">
        <is>
          <t xml:space="preserve">Otros Lugares                           </t>
        </is>
      </c>
      <c r="BO34" s="49" t="inlineStr">
        <is>
          <t>0</t>
        </is>
      </c>
      <c r="BP34" s="49" t="inlineStr">
        <is>
          <t>NO APLICA</t>
        </is>
      </c>
      <c r="BQ34" s="49" t="inlineStr">
        <is>
          <t>0</t>
        </is>
      </c>
      <c r="BR34" s="49" t="inlineStr">
        <is>
          <t>NO APLICA</t>
        </is>
      </c>
      <c r="BS34" s="49" t="inlineStr">
        <is>
          <t>0</t>
        </is>
      </c>
      <c r="BT34" s="49" t="inlineStr">
        <is>
          <t>NO APLICA</t>
        </is>
      </c>
      <c r="BU34" s="49" t="inlineStr">
        <is>
          <t>0</t>
        </is>
      </c>
      <c r="BV34" s="49" t="inlineStr">
        <is>
          <t>NO APLICA</t>
        </is>
      </c>
      <c r="BW34" s="49" t="inlineStr">
        <is>
          <t>No</t>
        </is>
      </c>
      <c r="BX34" s="49" t="inlineStr">
        <is>
          <t xml:space="preserve">No Aplica                     </t>
        </is>
      </c>
    </row>
    <row r="35" ht="22.5" customHeight="1">
      <c r="A35" s="49" t="n">
        <v>1054997974</v>
      </c>
      <c r="B35" s="49" t="inlineStr">
        <is>
          <t xml:space="preserve"> 168</t>
        </is>
      </c>
      <c r="C35" s="49" t="n">
        <v>1054997974</v>
      </c>
      <c r="D35" s="49" t="inlineStr">
        <is>
          <t>CC</t>
        </is>
      </c>
      <c r="E35" s="49" t="inlineStr">
        <is>
          <t>GIL JIMENEZ ANYI DAHIANA</t>
        </is>
      </c>
      <c r="F35" s="49" t="inlineStr">
        <is>
          <t>F</t>
        </is>
      </c>
      <c r="G35" s="49" t="inlineStr">
        <is>
          <t xml:space="preserve">A  </t>
        </is>
      </c>
      <c r="H35" s="49" t="inlineStr">
        <is>
          <t>+</t>
        </is>
      </c>
      <c r="I35" s="49" t="inlineStr">
        <is>
          <t>SOLTERO</t>
        </is>
      </c>
      <c r="J35" s="49" t="inlineStr">
        <is>
          <t xml:space="preserve">CHINCHINA                     </t>
        </is>
      </c>
      <c r="K35" s="49" t="n">
        <v>0</v>
      </c>
      <c r="L35" s="49" t="inlineStr">
        <is>
          <t>10/05/1997</t>
        </is>
      </c>
      <c r="M35" s="49" t="inlineStr">
        <is>
          <t xml:space="preserve">SUPIA                         </t>
        </is>
      </c>
      <c r="N35" s="49" t="inlineStr">
        <is>
          <t xml:space="preserve">0000                </t>
        </is>
      </c>
      <c r="O35" s="49" t="inlineStr">
        <is>
          <t>3219769608</t>
        </is>
      </c>
      <c r="P35" s="49" t="inlineStr">
        <is>
          <t>CR 12 N 10- 03</t>
        </is>
      </c>
      <c r="Q35" s="49" t="inlineStr">
        <is>
          <t>anyigil39@gmail.com</t>
        </is>
      </c>
      <c r="R35" s="49" t="inlineStr">
        <is>
          <t>PROFESIONAL DE TALENTO HUMANO</t>
        </is>
      </c>
      <c r="S35" s="108" t="n">
        <v>91.66666600000001</v>
      </c>
      <c r="T35" s="108" t="n">
        <v>0</v>
      </c>
      <c r="U35" s="108" t="n">
        <v>220</v>
      </c>
      <c r="V35" s="49" t="inlineStr">
        <is>
          <t>CONSIG. CTA AHORROS</t>
        </is>
      </c>
      <c r="W35" s="49" t="inlineStr">
        <is>
          <t xml:space="preserve">BANCOLOMBIA S.A.              </t>
        </is>
      </c>
      <c r="X35" s="49" t="inlineStr">
        <is>
          <t xml:space="preserve">70626260606              </t>
        </is>
      </c>
      <c r="Y35" s="49" t="inlineStr">
        <is>
          <t xml:space="preserve">NO APLICA                     </t>
        </is>
      </c>
      <c r="Z35" s="49" t="inlineStr">
        <is>
          <t>CM0601-HUR</t>
        </is>
      </c>
      <c r="AA35" s="49" t="inlineStr">
        <is>
          <t>CM0601-HUR</t>
        </is>
      </c>
      <c r="AB35" s="49" t="inlineStr">
        <is>
          <t xml:space="preserve">01 </t>
        </is>
      </c>
      <c r="AC35" s="49" t="inlineStr">
        <is>
          <t xml:space="preserve">                </t>
        </is>
      </c>
      <c r="AD35" s="49" t="inlineStr">
        <is>
          <t>LEY 50</t>
        </is>
      </c>
      <c r="AE35" s="49" t="inlineStr">
        <is>
          <t>No</t>
        </is>
      </c>
      <c r="AF35" s="49" t="inlineStr">
        <is>
          <t>Normal</t>
        </is>
      </c>
      <c r="AG35" s="49" t="n"/>
      <c r="AH35" s="49" t="inlineStr">
        <is>
          <t>Si</t>
        </is>
      </c>
      <c r="AI35" s="49" t="inlineStr">
        <is>
          <t xml:space="preserve">Normal              </t>
        </is>
      </c>
      <c r="AJ35" s="49" t="inlineStr">
        <is>
          <t xml:space="preserve">Quincenal                     </t>
        </is>
      </c>
      <c r="AK35" s="49" t="inlineStr">
        <is>
          <t>NO</t>
        </is>
      </c>
      <c r="AL35" s="49" t="inlineStr">
        <is>
          <t>NO</t>
        </is>
      </c>
      <c r="AM35" s="49" t="inlineStr">
        <is>
          <t>03/03/2026</t>
        </is>
      </c>
      <c r="AN35" s="49" t="n"/>
      <c r="AO35" s="49" t="n"/>
      <c r="AP35" s="49" t="inlineStr">
        <is>
          <t xml:space="preserve">NO APLICA                </t>
        </is>
      </c>
      <c r="AQ35" s="49" t="n">
        <v>231</v>
      </c>
      <c r="AR35" s="49" t="inlineStr">
        <is>
          <t>01</t>
        </is>
      </c>
      <c r="AS35" s="49" t="n">
        <v>1</v>
      </c>
      <c r="AT35" s="49" t="inlineStr">
        <is>
          <t>No</t>
        </is>
      </c>
      <c r="AU35" s="49" t="n">
        <v>0</v>
      </c>
      <c r="AV35" s="108" t="n">
        <v>0</v>
      </c>
      <c r="AW35" s="108" t="n">
        <v>0</v>
      </c>
      <c r="AX35" s="108" t="n">
        <v>0</v>
      </c>
      <c r="AY35" s="49" t="inlineStr">
        <is>
          <t>No</t>
        </is>
      </c>
      <c r="AZ35" s="49" t="n">
        <v>0</v>
      </c>
      <c r="BA35" s="49" t="inlineStr">
        <is>
          <t>NUEVA E.P.S</t>
        </is>
      </c>
      <c r="BB35" s="49" t="inlineStr">
        <is>
          <t>PORVENIR A.F.P.</t>
        </is>
      </c>
      <c r="BC35" s="49" t="inlineStr">
        <is>
          <t>CCF DE CALDAS</t>
        </is>
      </c>
      <c r="BD35" s="49" t="inlineStr">
        <is>
          <t>RIESGOS PROFESIONALES COLMENA S.A.</t>
        </is>
      </c>
      <c r="BE35" s="49" t="inlineStr">
        <is>
          <t>PORVENIR CESANTIAS</t>
        </is>
      </c>
      <c r="BF35" s="49" t="n">
        <v>0.522</v>
      </c>
      <c r="BG35" s="49" t="n">
        <v>220</v>
      </c>
      <c r="BH35" s="49" t="n">
        <v>15</v>
      </c>
      <c r="BI35" s="49" t="inlineStr">
        <is>
          <t xml:space="preserve">0           </t>
        </is>
      </c>
      <c r="BJ35" s="49" t="inlineStr">
        <is>
          <t xml:space="preserve">NO APLICA                               </t>
        </is>
      </c>
      <c r="BK35" s="49" t="inlineStr">
        <is>
          <t>02</t>
        </is>
      </c>
      <c r="BL35" s="49" t="inlineStr">
        <is>
          <t xml:space="preserve">Caldas                                  </t>
        </is>
      </c>
      <c r="BM35" s="49" t="inlineStr">
        <is>
          <t>02</t>
        </is>
      </c>
      <c r="BN35" s="49" t="inlineStr">
        <is>
          <t xml:space="preserve">Supia                                   </t>
        </is>
      </c>
      <c r="BO35" s="49" t="inlineStr">
        <is>
          <t>0</t>
        </is>
      </c>
      <c r="BP35" s="49" t="inlineStr">
        <is>
          <t>NO APLICA</t>
        </is>
      </c>
      <c r="BQ35" s="49" t="inlineStr">
        <is>
          <t>0</t>
        </is>
      </c>
      <c r="BR35" s="49" t="inlineStr">
        <is>
          <t>NO APLICA</t>
        </is>
      </c>
      <c r="BS35" s="49" t="inlineStr">
        <is>
          <t>0</t>
        </is>
      </c>
      <c r="BT35" s="49" t="inlineStr">
        <is>
          <t>NO APLICA</t>
        </is>
      </c>
      <c r="BU35" s="49" t="inlineStr">
        <is>
          <t>0</t>
        </is>
      </c>
      <c r="BV35" s="49" t="inlineStr">
        <is>
          <t>NO APLICA</t>
        </is>
      </c>
      <c r="BW35" s="49" t="inlineStr">
        <is>
          <t>No</t>
        </is>
      </c>
      <c r="BX35" s="49" t="inlineStr">
        <is>
          <t xml:space="preserve">No Aplica                     </t>
        </is>
      </c>
    </row>
    <row r="36" ht="22.5" customHeight="1">
      <c r="A36" s="49" t="n">
        <v>1058228119</v>
      </c>
      <c r="B36" s="49" t="inlineStr">
        <is>
          <t xml:space="preserve"> 135</t>
        </is>
      </c>
      <c r="C36" s="49" t="n">
        <v>1058228119</v>
      </c>
      <c r="D36" s="49" t="inlineStr">
        <is>
          <t>CC</t>
        </is>
      </c>
      <c r="E36" s="49" t="inlineStr">
        <is>
          <t>IZQUIERDO DIAZ MARLON ARTURO</t>
        </is>
      </c>
      <c r="F36" s="49" t="inlineStr">
        <is>
          <t>M</t>
        </is>
      </c>
      <c r="G36" s="49" t="inlineStr">
        <is>
          <t xml:space="preserve">A  </t>
        </is>
      </c>
      <c r="H36" s="49" t="inlineStr">
        <is>
          <t>+</t>
        </is>
      </c>
      <c r="I36" s="49" t="inlineStr">
        <is>
          <t>SOLTERO</t>
        </is>
      </c>
      <c r="J36" s="49" t="inlineStr">
        <is>
          <t xml:space="preserve">MARMATO                       </t>
        </is>
      </c>
      <c r="K36" s="49" t="n">
        <v>0</v>
      </c>
      <c r="L36" s="49" t="inlineStr">
        <is>
          <t>05/07/2004</t>
        </is>
      </c>
      <c r="M36" s="49" t="inlineStr">
        <is>
          <t xml:space="preserve">MARMATO                       </t>
        </is>
      </c>
      <c r="N36" s="49" t="inlineStr">
        <is>
          <t xml:space="preserve">0000                </t>
        </is>
      </c>
      <c r="O36" s="49" t="inlineStr">
        <is>
          <t>314 8175172</t>
        </is>
      </c>
      <c r="P36" s="49" t="inlineStr">
        <is>
          <t>VDA Cabras</t>
        </is>
      </c>
      <c r="Q36" s="49" t="inlineStr">
        <is>
          <t>3116216525luis@gmail.com</t>
        </is>
      </c>
      <c r="R36" s="49" t="inlineStr">
        <is>
          <t>AUXILIAR DE FORMALIZACIÓN</t>
        </is>
      </c>
      <c r="S36" s="108" t="n">
        <v>91.66666600000001</v>
      </c>
      <c r="T36" s="108" t="n">
        <v>0</v>
      </c>
      <c r="U36" s="108" t="n">
        <v>220</v>
      </c>
      <c r="V36" s="49" t="inlineStr">
        <is>
          <t>CONSIG. CTA AHORROS</t>
        </is>
      </c>
      <c r="W36" s="49" t="inlineStr">
        <is>
          <t xml:space="preserve">BANCO DAVIVIENDA S.A.         </t>
        </is>
      </c>
      <c r="X36" s="49" t="inlineStr">
        <is>
          <t xml:space="preserve">0550488446699891         </t>
        </is>
      </c>
      <c r="Y36" s="49" t="inlineStr">
        <is>
          <t xml:space="preserve">NO APLICA                     </t>
        </is>
      </c>
      <c r="Z36" s="49" t="inlineStr">
        <is>
          <t>CM0203-ESG</t>
        </is>
      </c>
      <c r="AA36" s="49" t="inlineStr">
        <is>
          <t>CM0203-ESGFORM</t>
        </is>
      </c>
      <c r="AB36" s="49" t="inlineStr">
        <is>
          <t xml:space="preserve">01 </t>
        </is>
      </c>
      <c r="AC36" s="49" t="inlineStr">
        <is>
          <t xml:space="preserve">                </t>
        </is>
      </c>
      <c r="AD36" s="49" t="inlineStr">
        <is>
          <t>LEY 50</t>
        </is>
      </c>
      <c r="AE36" s="49" t="inlineStr">
        <is>
          <t>No</t>
        </is>
      </c>
      <c r="AF36" s="49" t="inlineStr">
        <is>
          <t>Normal</t>
        </is>
      </c>
      <c r="AG36" s="49" t="n"/>
      <c r="AH36" s="49" t="inlineStr">
        <is>
          <t>Si</t>
        </is>
      </c>
      <c r="AI36" s="49" t="inlineStr">
        <is>
          <t xml:space="preserve">Normal              </t>
        </is>
      </c>
      <c r="AJ36" s="49" t="inlineStr">
        <is>
          <t xml:space="preserve">Quincenal                     </t>
        </is>
      </c>
      <c r="AK36" s="49" t="inlineStr">
        <is>
          <t>NO</t>
        </is>
      </c>
      <c r="AL36" s="49" t="inlineStr">
        <is>
          <t>NO</t>
        </is>
      </c>
      <c r="AM36" s="49" t="inlineStr">
        <is>
          <t>01/09/2025</t>
        </is>
      </c>
      <c r="AN36" s="49" t="n"/>
      <c r="AO36" s="49" t="n"/>
      <c r="AP36" s="49" t="inlineStr">
        <is>
          <t xml:space="preserve">NO APLICA                </t>
        </is>
      </c>
      <c r="AQ36" s="49" t="n">
        <v>195</v>
      </c>
      <c r="AR36" s="49" t="inlineStr">
        <is>
          <t>01</t>
        </is>
      </c>
      <c r="AS36" s="49" t="n">
        <v>1</v>
      </c>
      <c r="AT36" s="49" t="inlineStr">
        <is>
          <t>No</t>
        </is>
      </c>
      <c r="AU36" s="49" t="n">
        <v>0</v>
      </c>
      <c r="AV36" s="108" t="n">
        <v>0</v>
      </c>
      <c r="AW36" s="108" t="n">
        <v>0</v>
      </c>
      <c r="AX36" s="108" t="n">
        <v>0</v>
      </c>
      <c r="AY36" s="49" t="inlineStr">
        <is>
          <t>No</t>
        </is>
      </c>
      <c r="AZ36" s="49" t="n">
        <v>0</v>
      </c>
      <c r="BA36" s="49" t="inlineStr">
        <is>
          <t>NUEVA E.P.S</t>
        </is>
      </c>
      <c r="BB36" s="49" t="inlineStr">
        <is>
          <t>PORVENIR A.F.P.</t>
        </is>
      </c>
      <c r="BC36" s="49" t="inlineStr">
        <is>
          <t>CCF DE CALDAS</t>
        </is>
      </c>
      <c r="BD36" s="49" t="inlineStr">
        <is>
          <t>RIESGOS PROFESIONALES COLMENA S.A.</t>
        </is>
      </c>
      <c r="BE36" s="49" t="inlineStr">
        <is>
          <t>PORVENIR CESANTIAS</t>
        </is>
      </c>
      <c r="BF36" s="49" t="n">
        <v>6.96</v>
      </c>
      <c r="BG36" s="49" t="n">
        <v>220</v>
      </c>
      <c r="BH36" s="49" t="n">
        <v>15</v>
      </c>
      <c r="BI36" s="49" t="inlineStr">
        <is>
          <t xml:space="preserve">0           </t>
        </is>
      </c>
      <c r="BJ36" s="49" t="inlineStr">
        <is>
          <t xml:space="preserve">NO APLICA                               </t>
        </is>
      </c>
      <c r="BK36" s="49" t="inlineStr">
        <is>
          <t>02</t>
        </is>
      </c>
      <c r="BL36" s="49" t="inlineStr">
        <is>
          <t xml:space="preserve">Caldas                                  </t>
        </is>
      </c>
      <c r="BM36" s="49" t="inlineStr">
        <is>
          <t>02</t>
        </is>
      </c>
      <c r="BN36" s="49" t="inlineStr">
        <is>
          <t xml:space="preserve">Supia                                   </t>
        </is>
      </c>
      <c r="BO36" s="49" t="inlineStr">
        <is>
          <t>0</t>
        </is>
      </c>
      <c r="BP36" s="49" t="inlineStr">
        <is>
          <t>NO APLICA</t>
        </is>
      </c>
      <c r="BQ36" s="49" t="inlineStr">
        <is>
          <t>0</t>
        </is>
      </c>
      <c r="BR36" s="49" t="inlineStr">
        <is>
          <t>NO APLICA</t>
        </is>
      </c>
      <c r="BS36" s="49" t="inlineStr">
        <is>
          <t>0</t>
        </is>
      </c>
      <c r="BT36" s="49" t="inlineStr">
        <is>
          <t>NO APLICA</t>
        </is>
      </c>
      <c r="BU36" s="49" t="inlineStr">
        <is>
          <t>0</t>
        </is>
      </c>
      <c r="BV36" s="49" t="inlineStr">
        <is>
          <t>NO APLICA</t>
        </is>
      </c>
      <c r="BW36" s="49" t="inlineStr">
        <is>
          <t>No</t>
        </is>
      </c>
      <c r="BX36" s="49" t="inlineStr">
        <is>
          <t xml:space="preserve">No Aplica                     </t>
        </is>
      </c>
    </row>
    <row r="37" ht="22.5" customHeight="1">
      <c r="A37" s="49" t="n">
        <v>1058228240</v>
      </c>
      <c r="B37" s="49" t="inlineStr">
        <is>
          <t xml:space="preserve"> 110</t>
        </is>
      </c>
      <c r="C37" s="49" t="n">
        <v>1058228240</v>
      </c>
      <c r="D37" s="49" t="inlineStr">
        <is>
          <t>CC</t>
        </is>
      </c>
      <c r="E37" s="49" t="inlineStr">
        <is>
          <t>VELASQUEZ IZQUIERDO LAURA</t>
        </is>
      </c>
      <c r="F37" s="49" t="inlineStr">
        <is>
          <t>F</t>
        </is>
      </c>
      <c r="G37" s="49" t="inlineStr">
        <is>
          <t xml:space="preserve">A  </t>
        </is>
      </c>
      <c r="H37" s="49" t="inlineStr">
        <is>
          <t>+</t>
        </is>
      </c>
      <c r="I37" s="49" t="inlineStr">
        <is>
          <t>SOLTERO</t>
        </is>
      </c>
      <c r="J37" s="49" t="inlineStr">
        <is>
          <t xml:space="preserve">EL ENCANTO                    </t>
        </is>
      </c>
      <c r="K37" s="49" t="n">
        <v>0</v>
      </c>
      <c r="L37" s="49" t="inlineStr">
        <is>
          <t>24/12/2004</t>
        </is>
      </c>
      <c r="M37" s="49" t="inlineStr">
        <is>
          <t xml:space="preserve">SUPIA                         </t>
        </is>
      </c>
      <c r="N37" s="49" t="inlineStr">
        <is>
          <t xml:space="preserve">0                   </t>
        </is>
      </c>
      <c r="O37" s="49" t="inlineStr">
        <is>
          <t>3106671843</t>
        </is>
      </c>
      <c r="P37" s="49" t="inlineStr">
        <is>
          <t>VDA LA LOMA</t>
        </is>
      </c>
      <c r="Q37" s="49" t="inlineStr">
        <is>
          <t>lauizquierdo12@gmail.com</t>
        </is>
      </c>
      <c r="R37" s="49" t="inlineStr">
        <is>
          <t>AUXILIAR DE PROTECCION</t>
        </is>
      </c>
      <c r="S37" s="108" t="n">
        <v>91.66666600000001</v>
      </c>
      <c r="T37" s="108" t="n">
        <v>0</v>
      </c>
      <c r="U37" s="108" t="n">
        <v>220</v>
      </c>
      <c r="V37" s="49" t="inlineStr">
        <is>
          <t>CONSIG. CTA AHORROS</t>
        </is>
      </c>
      <c r="W37" s="49" t="inlineStr">
        <is>
          <t xml:space="preserve">BANCO DAVIVIENDA S.A.         </t>
        </is>
      </c>
      <c r="X37" s="49" t="inlineStr">
        <is>
          <t xml:space="preserve">0550488443636425         </t>
        </is>
      </c>
      <c r="Y37" s="49" t="inlineStr">
        <is>
          <t xml:space="preserve">NO APLICA                     </t>
        </is>
      </c>
      <c r="Z37" s="49" t="inlineStr">
        <is>
          <t>CM0400-PRO</t>
        </is>
      </c>
      <c r="AA37" s="49" t="inlineStr">
        <is>
          <t>CM0400-PRO</t>
        </is>
      </c>
      <c r="AB37" s="49" t="inlineStr">
        <is>
          <t xml:space="preserve">01 </t>
        </is>
      </c>
      <c r="AC37" s="49" t="inlineStr">
        <is>
          <t xml:space="preserve">                </t>
        </is>
      </c>
      <c r="AD37" s="49" t="inlineStr">
        <is>
          <t>LEY 50</t>
        </is>
      </c>
      <c r="AE37" s="49" t="inlineStr">
        <is>
          <t>No</t>
        </is>
      </c>
      <c r="AF37" s="49" t="inlineStr">
        <is>
          <t>Normal</t>
        </is>
      </c>
      <c r="AG37" s="49" t="n"/>
      <c r="AH37" s="49" t="inlineStr">
        <is>
          <t>Si</t>
        </is>
      </c>
      <c r="AI37" s="49" t="inlineStr">
        <is>
          <t xml:space="preserve">Normal              </t>
        </is>
      </c>
      <c r="AJ37" s="49" t="inlineStr">
        <is>
          <t xml:space="preserve">Quincenal                     </t>
        </is>
      </c>
      <c r="AK37" s="49" t="inlineStr">
        <is>
          <t>NO</t>
        </is>
      </c>
      <c r="AL37" s="49" t="inlineStr">
        <is>
          <t>NO</t>
        </is>
      </c>
      <c r="AM37" s="49" t="inlineStr">
        <is>
          <t>17/03/2025</t>
        </is>
      </c>
      <c r="AN37" s="49" t="n"/>
      <c r="AO37" s="49" t="n"/>
      <c r="AP37" s="49" t="inlineStr">
        <is>
          <t xml:space="preserve">NO APLICA                </t>
        </is>
      </c>
      <c r="AQ37" s="49" t="n">
        <v>170</v>
      </c>
      <c r="AR37" s="49" t="inlineStr">
        <is>
          <t>01</t>
        </is>
      </c>
      <c r="AS37" s="49" t="n">
        <v>1</v>
      </c>
      <c r="AT37" s="49" t="inlineStr">
        <is>
          <t>No</t>
        </is>
      </c>
      <c r="AU37" s="49" t="n">
        <v>0</v>
      </c>
      <c r="AV37" s="108" t="n">
        <v>0</v>
      </c>
      <c r="AW37" s="108" t="n">
        <v>0</v>
      </c>
      <c r="AX37" s="108" t="n">
        <v>0</v>
      </c>
      <c r="AY37" s="49" t="inlineStr">
        <is>
          <t>No</t>
        </is>
      </c>
      <c r="AZ37" s="49" t="n">
        <v>0</v>
      </c>
      <c r="BA37" s="49" t="inlineStr">
        <is>
          <t>SALUD TOTAL E.P.S.</t>
        </is>
      </c>
      <c r="BB37" s="49" t="inlineStr">
        <is>
          <t>PORVENIR A.F.P.</t>
        </is>
      </c>
      <c r="BC37" s="49" t="inlineStr">
        <is>
          <t>CCF DE CALDAS</t>
        </is>
      </c>
      <c r="BD37" s="49" t="inlineStr">
        <is>
          <t>RIESGOS PROFESIONALES COLMENA S.A.</t>
        </is>
      </c>
      <c r="BE37" s="49" t="inlineStr">
        <is>
          <t>PORVENIR CESANTIAS</t>
        </is>
      </c>
      <c r="BF37" s="49" t="n">
        <v>6.96</v>
      </c>
      <c r="BG37" s="49" t="n">
        <v>220</v>
      </c>
      <c r="BH37" s="49" t="n">
        <v>15</v>
      </c>
      <c r="BI37" s="49" t="inlineStr">
        <is>
          <t xml:space="preserve">0           </t>
        </is>
      </c>
      <c r="BJ37" s="49" t="inlineStr">
        <is>
          <t xml:space="preserve">NO APLICA                               </t>
        </is>
      </c>
      <c r="BK37" s="49" t="inlineStr">
        <is>
          <t>02</t>
        </is>
      </c>
      <c r="BL37" s="49" t="inlineStr">
        <is>
          <t xml:space="preserve">Caldas                                  </t>
        </is>
      </c>
      <c r="BM37" s="49" t="inlineStr">
        <is>
          <t>02</t>
        </is>
      </c>
      <c r="BN37" s="49" t="inlineStr">
        <is>
          <t xml:space="preserve">Supia                                   </t>
        </is>
      </c>
      <c r="BO37" s="49" t="inlineStr">
        <is>
          <t>0</t>
        </is>
      </c>
      <c r="BP37" s="49" t="inlineStr">
        <is>
          <t>NO APLICA</t>
        </is>
      </c>
      <c r="BQ37" s="49" t="inlineStr">
        <is>
          <t>0</t>
        </is>
      </c>
      <c r="BR37" s="49" t="inlineStr">
        <is>
          <t>NO APLICA</t>
        </is>
      </c>
      <c r="BS37" s="49" t="inlineStr">
        <is>
          <t>0</t>
        </is>
      </c>
      <c r="BT37" s="49" t="inlineStr">
        <is>
          <t>NO APLICA</t>
        </is>
      </c>
      <c r="BU37" s="49" t="inlineStr">
        <is>
          <t>0</t>
        </is>
      </c>
      <c r="BV37" s="49" t="inlineStr">
        <is>
          <t>NO APLICA</t>
        </is>
      </c>
      <c r="BW37" s="49" t="inlineStr">
        <is>
          <t>No</t>
        </is>
      </c>
      <c r="BX37" s="49" t="inlineStr">
        <is>
          <t xml:space="preserve">No Aplica                     </t>
        </is>
      </c>
    </row>
    <row r="38" ht="22.5" customHeight="1">
      <c r="A38" s="49" t="n">
        <v>1058229120</v>
      </c>
      <c r="B38" s="49" t="inlineStr">
        <is>
          <t>081</t>
        </is>
      </c>
      <c r="C38" s="49" t="n">
        <v>1058229120</v>
      </c>
      <c r="D38" s="49" t="inlineStr">
        <is>
          <t>CC</t>
        </is>
      </c>
      <c r="E38" s="49" t="inlineStr">
        <is>
          <t>MORENO CASTRILLON YANETH ORLANDY</t>
        </is>
      </c>
      <c r="F38" s="49" t="inlineStr">
        <is>
          <t>F</t>
        </is>
      </c>
      <c r="G38" s="49" t="inlineStr">
        <is>
          <t xml:space="preserve">A  </t>
        </is>
      </c>
      <c r="H38" s="49" t="inlineStr">
        <is>
          <t>+</t>
        </is>
      </c>
      <c r="I38" s="49" t="inlineStr">
        <is>
          <t>SOLTERO</t>
        </is>
      </c>
      <c r="J38" s="49" t="inlineStr">
        <is>
          <t xml:space="preserve">MARMATO                       </t>
        </is>
      </c>
      <c r="K38" s="49" t="n">
        <v>0</v>
      </c>
      <c r="L38" s="49" t="inlineStr">
        <is>
          <t>12/02/1991</t>
        </is>
      </c>
      <c r="M38" s="49" t="inlineStr">
        <is>
          <t xml:space="preserve">SUPIA                         </t>
        </is>
      </c>
      <c r="N38" s="49" t="inlineStr">
        <is>
          <t xml:space="preserve">0                   </t>
        </is>
      </c>
      <c r="O38" s="49" t="inlineStr">
        <is>
          <t>3186520894</t>
        </is>
      </c>
      <c r="P38" s="49" t="inlineStr">
        <is>
          <t>VD CABRAS</t>
        </is>
      </c>
      <c r="Q38" s="49" t="inlineStr">
        <is>
          <t>orlandycastrillon@gmail.com</t>
        </is>
      </c>
      <c r="R38" s="49" t="inlineStr">
        <is>
          <t>ANALISTA DE GESTION SOCIAL</t>
        </is>
      </c>
      <c r="S38" s="108" t="n">
        <v>91.66666600000001</v>
      </c>
      <c r="T38" s="108" t="n">
        <v>0</v>
      </c>
      <c r="U38" s="108" t="n">
        <v>220</v>
      </c>
      <c r="V38" s="49" t="inlineStr">
        <is>
          <t>CONSIG. CTA AHORROS</t>
        </is>
      </c>
      <c r="W38" s="49" t="inlineStr">
        <is>
          <t xml:space="preserve">BANCO DAVIVIENDA S.A.         </t>
        </is>
      </c>
      <c r="X38" s="49" t="inlineStr">
        <is>
          <t xml:space="preserve">084700090305             </t>
        </is>
      </c>
      <c r="Y38" s="49" t="inlineStr">
        <is>
          <t xml:space="preserve">NO APLICA                     </t>
        </is>
      </c>
      <c r="Z38" s="49" t="inlineStr">
        <is>
          <t>CM0201-ESG</t>
        </is>
      </c>
      <c r="AA38" s="49" t="inlineStr">
        <is>
          <t>CM0201-ESGSOC</t>
        </is>
      </c>
      <c r="AB38" s="49" t="inlineStr">
        <is>
          <t xml:space="preserve">01 </t>
        </is>
      </c>
      <c r="AC38" s="49" t="inlineStr">
        <is>
          <t xml:space="preserve">                </t>
        </is>
      </c>
      <c r="AD38" s="49" t="inlineStr">
        <is>
          <t>LEY 50</t>
        </is>
      </c>
      <c r="AE38" s="49" t="inlineStr">
        <is>
          <t>No</t>
        </is>
      </c>
      <c r="AF38" s="49" t="inlineStr">
        <is>
          <t>Normal</t>
        </is>
      </c>
      <c r="AG38" s="49" t="n"/>
      <c r="AH38" s="49" t="inlineStr">
        <is>
          <t>Si</t>
        </is>
      </c>
      <c r="AI38" s="49" t="inlineStr">
        <is>
          <t xml:space="preserve">Normal              </t>
        </is>
      </c>
      <c r="AJ38" s="49" t="inlineStr">
        <is>
          <t xml:space="preserve">Quincenal                     </t>
        </is>
      </c>
      <c r="AK38" s="49" t="inlineStr">
        <is>
          <t>NO</t>
        </is>
      </c>
      <c r="AL38" s="49" t="inlineStr">
        <is>
          <t>NO</t>
        </is>
      </c>
      <c r="AM38" s="49" t="inlineStr">
        <is>
          <t>11/06/2024</t>
        </is>
      </c>
      <c r="AN38" s="49" t="n"/>
      <c r="AO38" s="49" t="n"/>
      <c r="AP38" s="49" t="inlineStr">
        <is>
          <t xml:space="preserve">NO APLICA                </t>
        </is>
      </c>
      <c r="AQ38" s="49" t="n">
        <v>139</v>
      </c>
      <c r="AR38" s="49" t="inlineStr">
        <is>
          <t>01</t>
        </is>
      </c>
      <c r="AS38" s="49" t="n">
        <v>1</v>
      </c>
      <c r="AT38" s="49" t="inlineStr">
        <is>
          <t>No</t>
        </is>
      </c>
      <c r="AU38" s="49" t="n">
        <v>0</v>
      </c>
      <c r="AV38" s="108" t="n">
        <v>0</v>
      </c>
      <c r="AW38" s="108" t="n">
        <v>0</v>
      </c>
      <c r="AX38" s="108" t="n">
        <v>0</v>
      </c>
      <c r="AY38" s="49" t="inlineStr">
        <is>
          <t>No</t>
        </is>
      </c>
      <c r="AZ38" s="49" t="n">
        <v>116405</v>
      </c>
      <c r="BA38" s="49" t="inlineStr">
        <is>
          <t>NUEVA E.P.S</t>
        </is>
      </c>
      <c r="BB38" s="49" t="inlineStr">
        <is>
          <t>PORVENIR A.F.P.</t>
        </is>
      </c>
      <c r="BC38" s="49" t="inlineStr">
        <is>
          <t>CCF DE CALDAS</t>
        </is>
      </c>
      <c r="BD38" s="49" t="inlineStr">
        <is>
          <t>RIESGOS PROFESIONALES COLMENA S.A.</t>
        </is>
      </c>
      <c r="BE38" s="49" t="inlineStr">
        <is>
          <t>PORVENIR CESANTIAS</t>
        </is>
      </c>
      <c r="BF38" s="49" t="n">
        <v>6.96</v>
      </c>
      <c r="BG38" s="49" t="n">
        <v>220</v>
      </c>
      <c r="BH38" s="49" t="n">
        <v>15</v>
      </c>
      <c r="BI38" s="49" t="inlineStr">
        <is>
          <t xml:space="preserve">0           </t>
        </is>
      </c>
      <c r="BJ38" s="49" t="inlineStr">
        <is>
          <t xml:space="preserve">NO APLICA                               </t>
        </is>
      </c>
      <c r="BK38" s="49" t="inlineStr">
        <is>
          <t>02</t>
        </is>
      </c>
      <c r="BL38" s="49" t="inlineStr">
        <is>
          <t xml:space="preserve">Caldas                                  </t>
        </is>
      </c>
      <c r="BM38" s="49" t="inlineStr">
        <is>
          <t>02</t>
        </is>
      </c>
      <c r="BN38" s="49" t="inlineStr">
        <is>
          <t xml:space="preserve">Supia                                   </t>
        </is>
      </c>
      <c r="BO38" s="49" t="inlineStr">
        <is>
          <t>0</t>
        </is>
      </c>
      <c r="BP38" s="49" t="inlineStr">
        <is>
          <t>NO APLICA</t>
        </is>
      </c>
      <c r="BQ38" s="49" t="inlineStr">
        <is>
          <t>0</t>
        </is>
      </c>
      <c r="BR38" s="49" t="inlineStr">
        <is>
          <t>NO APLICA</t>
        </is>
      </c>
      <c r="BS38" s="49" t="inlineStr">
        <is>
          <t>0</t>
        </is>
      </c>
      <c r="BT38" s="49" t="inlineStr">
        <is>
          <t>NO APLICA</t>
        </is>
      </c>
      <c r="BU38" s="49" t="inlineStr">
        <is>
          <t>0</t>
        </is>
      </c>
      <c r="BV38" s="49" t="inlineStr">
        <is>
          <t>NO APLICA</t>
        </is>
      </c>
      <c r="BW38" s="49" t="inlineStr">
        <is>
          <t>No</t>
        </is>
      </c>
      <c r="BX38" s="49" t="inlineStr">
        <is>
          <t xml:space="preserve">No Aplica                     </t>
        </is>
      </c>
    </row>
    <row r="39" ht="22.5" customHeight="1">
      <c r="A39" s="49" t="n">
        <v>1058230681</v>
      </c>
      <c r="B39" s="49" t="inlineStr">
        <is>
          <t>043</t>
        </is>
      </c>
      <c r="C39" s="49" t="n">
        <v>1058230681</v>
      </c>
      <c r="D39" s="49" t="inlineStr">
        <is>
          <t>CC</t>
        </is>
      </c>
      <c r="E39" s="49" t="inlineStr">
        <is>
          <t>CASTRO ESCOBAR YESMITH VERONICA</t>
        </is>
      </c>
      <c r="F39" s="49" t="inlineStr">
        <is>
          <t>F</t>
        </is>
      </c>
      <c r="G39" s="49" t="inlineStr">
        <is>
          <t xml:space="preserve">O  </t>
        </is>
      </c>
      <c r="H39" s="49" t="inlineStr">
        <is>
          <t>+</t>
        </is>
      </c>
      <c r="I39" s="49" t="inlineStr">
        <is>
          <t>SOLTERO</t>
        </is>
      </c>
      <c r="J39" s="49" t="inlineStr">
        <is>
          <t xml:space="preserve">MANIZALES                     </t>
        </is>
      </c>
      <c r="K39" s="49" t="n">
        <v>0</v>
      </c>
      <c r="L39" s="49" t="inlineStr">
        <is>
          <t>25/11/1996</t>
        </is>
      </c>
      <c r="M39" s="49" t="inlineStr">
        <is>
          <t xml:space="preserve">MARMATO                       </t>
        </is>
      </c>
      <c r="N39" s="49" t="inlineStr">
        <is>
          <t xml:space="preserve">123                 </t>
        </is>
      </c>
      <c r="O39" s="49" t="inlineStr">
        <is>
          <t>3205589296</t>
        </is>
      </c>
      <c r="P39" s="49" t="inlineStr">
        <is>
          <t>VEREDA CABRAS</t>
        </is>
      </c>
      <c r="Q39" s="49" t="inlineStr">
        <is>
          <t>ycastro1504@gmail.com</t>
        </is>
      </c>
      <c r="R39" s="49" t="inlineStr">
        <is>
          <t>ANALISTA DE FORMALIZACION</t>
        </is>
      </c>
      <c r="S39" s="108" t="n">
        <v>91.66666600000001</v>
      </c>
      <c r="T39" s="108" t="n">
        <v>0</v>
      </c>
      <c r="U39" s="108" t="n">
        <v>220</v>
      </c>
      <c r="V39" s="49" t="inlineStr">
        <is>
          <t>CONSIG. CTA AHORROS</t>
        </is>
      </c>
      <c r="W39" s="49" t="inlineStr">
        <is>
          <t xml:space="preserve">BANCOLOMBIA S.A.              </t>
        </is>
      </c>
      <c r="X39" s="49" t="inlineStr">
        <is>
          <t xml:space="preserve">91246248848              </t>
        </is>
      </c>
      <c r="Y39" s="49" t="inlineStr">
        <is>
          <t xml:space="preserve">NO APLICA                     </t>
        </is>
      </c>
      <c r="Z39" s="49" t="inlineStr">
        <is>
          <t>CM0203-ESG</t>
        </is>
      </c>
      <c r="AA39" s="49" t="inlineStr">
        <is>
          <t>CM0203-ESGFORM</t>
        </is>
      </c>
      <c r="AB39" s="49" t="inlineStr">
        <is>
          <t xml:space="preserve">01 </t>
        </is>
      </c>
      <c r="AC39" s="49" t="inlineStr">
        <is>
          <t xml:space="preserve">0               </t>
        </is>
      </c>
      <c r="AD39" s="49" t="inlineStr">
        <is>
          <t>LEY 50</t>
        </is>
      </c>
      <c r="AE39" s="49" t="inlineStr">
        <is>
          <t>Si</t>
        </is>
      </c>
      <c r="AF39" s="49" t="inlineStr">
        <is>
          <t>Normal</t>
        </is>
      </c>
      <c r="AG39" s="49" t="n"/>
      <c r="AH39" s="49" t="inlineStr">
        <is>
          <t>Si</t>
        </is>
      </c>
      <c r="AI39" s="49" t="inlineStr">
        <is>
          <t xml:space="preserve">Normal              </t>
        </is>
      </c>
      <c r="AJ39" s="49" t="inlineStr">
        <is>
          <t xml:space="preserve">Quincenal                     </t>
        </is>
      </c>
      <c r="AK39" s="49" t="inlineStr">
        <is>
          <t>NO</t>
        </is>
      </c>
      <c r="AL39" s="49" t="inlineStr">
        <is>
          <t>NO</t>
        </is>
      </c>
      <c r="AM39" s="49" t="inlineStr">
        <is>
          <t>06/12/2022</t>
        </is>
      </c>
      <c r="AN39" s="49" t="n"/>
      <c r="AO39" s="49" t="n"/>
      <c r="AP39" s="49" t="inlineStr">
        <is>
          <t xml:space="preserve">NO APLICA                </t>
        </is>
      </c>
      <c r="AQ39" s="49" t="n">
        <v>52</v>
      </c>
      <c r="AR39" s="49" t="inlineStr">
        <is>
          <t>01</t>
        </is>
      </c>
      <c r="AS39" s="49" t="n">
        <v>1</v>
      </c>
      <c r="AT39" s="49" t="inlineStr">
        <is>
          <t>Si</t>
        </is>
      </c>
      <c r="AU39" s="49" t="n">
        <v>0</v>
      </c>
      <c r="AV39" s="108" t="n">
        <v>0</v>
      </c>
      <c r="AW39" s="108" t="n">
        <v>0</v>
      </c>
      <c r="AX39" s="108" t="n">
        <v>0</v>
      </c>
      <c r="AY39" s="49" t="inlineStr">
        <is>
          <t>No</t>
        </is>
      </c>
      <c r="AZ39" s="49" t="n">
        <v>113136</v>
      </c>
      <c r="BA39" s="49" t="inlineStr">
        <is>
          <t>SURA E.P.S.</t>
        </is>
      </c>
      <c r="BB39" s="49" t="inlineStr">
        <is>
          <t>PORVENIR A.F.P.</t>
        </is>
      </c>
      <c r="BC39" s="49" t="inlineStr">
        <is>
          <t>CCF DE CALDAS</t>
        </is>
      </c>
      <c r="BD39" s="49" t="inlineStr">
        <is>
          <t>RIESGOS PROFESIONALES COLMENA S.A.</t>
        </is>
      </c>
      <c r="BE39" s="49" t="inlineStr">
        <is>
          <t>PORVENIR CESANTIAS</t>
        </is>
      </c>
      <c r="BF39" s="49" t="n">
        <v>6.96</v>
      </c>
      <c r="BG39" s="49" t="n">
        <v>220</v>
      </c>
      <c r="BH39" s="49" t="n">
        <v>15</v>
      </c>
      <c r="BI39" s="49" t="inlineStr">
        <is>
          <t xml:space="preserve">0           </t>
        </is>
      </c>
      <c r="BJ39" s="49" t="inlineStr">
        <is>
          <t xml:space="preserve">NO APLICA                               </t>
        </is>
      </c>
      <c r="BK39" s="49" t="inlineStr">
        <is>
          <t>02</t>
        </is>
      </c>
      <c r="BL39" s="49" t="inlineStr">
        <is>
          <t xml:space="preserve">Caldas                                  </t>
        </is>
      </c>
      <c r="BM39" s="49" t="inlineStr">
        <is>
          <t>03</t>
        </is>
      </c>
      <c r="BN39" s="49" t="inlineStr">
        <is>
          <t xml:space="preserve">Marmato                                 </t>
        </is>
      </c>
      <c r="BO39" s="49" t="inlineStr">
        <is>
          <t>0</t>
        </is>
      </c>
      <c r="BP39" s="49" t="inlineStr">
        <is>
          <t>NO APLICA</t>
        </is>
      </c>
      <c r="BQ39" s="49" t="inlineStr">
        <is>
          <t>0</t>
        </is>
      </c>
      <c r="BR39" s="49" t="inlineStr">
        <is>
          <t>NO APLICA</t>
        </is>
      </c>
      <c r="BS39" s="49" t="inlineStr">
        <is>
          <t>0</t>
        </is>
      </c>
      <c r="BT39" s="49" t="inlineStr">
        <is>
          <t>NO APLICA</t>
        </is>
      </c>
      <c r="BU39" s="49" t="inlineStr">
        <is>
          <t>0</t>
        </is>
      </c>
      <c r="BV39" s="49" t="inlineStr">
        <is>
          <t>NO APLICA</t>
        </is>
      </c>
      <c r="BW39" s="49" t="inlineStr">
        <is>
          <t>No</t>
        </is>
      </c>
      <c r="BX39" s="49" t="inlineStr">
        <is>
          <t xml:space="preserve">No Aplica                     </t>
        </is>
      </c>
    </row>
    <row r="40" ht="22.5" customHeight="1">
      <c r="A40" s="49" t="n">
        <v>1059694220</v>
      </c>
      <c r="B40" s="49" t="inlineStr">
        <is>
          <t>072</t>
        </is>
      </c>
      <c r="C40" s="49" t="n">
        <v>1059694220</v>
      </c>
      <c r="D40" s="49" t="inlineStr">
        <is>
          <t>CC</t>
        </is>
      </c>
      <c r="E40" s="49" t="inlineStr">
        <is>
          <t>MONTOYA SOTO MAYERLY ANDREA</t>
        </is>
      </c>
      <c r="F40" s="49" t="inlineStr">
        <is>
          <t>F</t>
        </is>
      </c>
      <c r="G40" s="49" t="inlineStr">
        <is>
          <t xml:space="preserve">O  </t>
        </is>
      </c>
      <c r="H40" s="49" t="inlineStr">
        <is>
          <t>+</t>
        </is>
      </c>
      <c r="I40" s="49" t="inlineStr">
        <is>
          <t>SOLTERO</t>
        </is>
      </c>
      <c r="J40" s="49" t="inlineStr">
        <is>
          <t xml:space="preserve">RIOSUCIO                      </t>
        </is>
      </c>
      <c r="K40" s="49" t="n">
        <v>0</v>
      </c>
      <c r="L40" s="49" t="inlineStr">
        <is>
          <t>21/02/2004</t>
        </is>
      </c>
      <c r="M40" s="49" t="inlineStr">
        <is>
          <t xml:space="preserve">SUPIA                         </t>
        </is>
      </c>
      <c r="N40" s="49" t="inlineStr">
        <is>
          <t xml:space="preserve">3212572085          </t>
        </is>
      </c>
      <c r="O40" s="49" t="n"/>
      <c r="P40" s="49" t="inlineStr">
        <is>
          <t>.CL  9 No 2 22</t>
        </is>
      </c>
      <c r="Q40" s="49" t="inlineStr">
        <is>
          <t>andremontoya2102@gmail.com</t>
        </is>
      </c>
      <c r="R40" s="49" t="inlineStr">
        <is>
          <t>ANALISTA TALENTO HUMANO</t>
        </is>
      </c>
      <c r="S40" s="108" t="n">
        <v>91.66666600000001</v>
      </c>
      <c r="T40" s="108" t="n">
        <v>0</v>
      </c>
      <c r="U40" s="108" t="n">
        <v>220</v>
      </c>
      <c r="V40" s="49" t="inlineStr">
        <is>
          <t>CONSIG. CTA AHORROS</t>
        </is>
      </c>
      <c r="W40" s="49" t="inlineStr">
        <is>
          <t xml:space="preserve">BANCOLOMBIA S.A.              </t>
        </is>
      </c>
      <c r="X40" s="49" t="inlineStr">
        <is>
          <t xml:space="preserve">58321148237              </t>
        </is>
      </c>
      <c r="Y40" s="49" t="inlineStr">
        <is>
          <t xml:space="preserve">NO APLICA                     </t>
        </is>
      </c>
      <c r="Z40" s="49" t="inlineStr">
        <is>
          <t>CM0601-HUR</t>
        </is>
      </c>
      <c r="AA40" s="49" t="inlineStr">
        <is>
          <t>CM0601-HUR</t>
        </is>
      </c>
      <c r="AB40" s="49" t="inlineStr">
        <is>
          <t xml:space="preserve">01 </t>
        </is>
      </c>
      <c r="AC40" s="49" t="inlineStr">
        <is>
          <t xml:space="preserve">0               </t>
        </is>
      </c>
      <c r="AD40" s="49" t="inlineStr">
        <is>
          <t>LEY 50</t>
        </is>
      </c>
      <c r="AE40" s="49" t="inlineStr">
        <is>
          <t>No</t>
        </is>
      </c>
      <c r="AF40" s="49" t="inlineStr">
        <is>
          <t>Normal</t>
        </is>
      </c>
      <c r="AG40" s="49" t="n"/>
      <c r="AH40" s="49" t="inlineStr">
        <is>
          <t>Si</t>
        </is>
      </c>
      <c r="AI40" s="49" t="inlineStr">
        <is>
          <t xml:space="preserve">Normal              </t>
        </is>
      </c>
      <c r="AJ40" s="49" t="inlineStr">
        <is>
          <t xml:space="preserve">Quincenal                     </t>
        </is>
      </c>
      <c r="AK40" s="49" t="inlineStr">
        <is>
          <t>NO</t>
        </is>
      </c>
      <c r="AL40" s="49" t="inlineStr">
        <is>
          <t>NO</t>
        </is>
      </c>
      <c r="AM40" s="49" t="inlineStr">
        <is>
          <t>01/05/2024</t>
        </is>
      </c>
      <c r="AN40" s="49" t="n"/>
      <c r="AO40" s="49" t="n"/>
      <c r="AP40" s="49" t="inlineStr">
        <is>
          <t xml:space="preserve">NO APLICA                </t>
        </is>
      </c>
      <c r="AQ40" s="49" t="n">
        <v>130</v>
      </c>
      <c r="AR40" s="49" t="inlineStr">
        <is>
          <t>01</t>
        </is>
      </c>
      <c r="AS40" s="49" t="n">
        <v>1</v>
      </c>
      <c r="AT40" s="49" t="inlineStr">
        <is>
          <t>No</t>
        </is>
      </c>
      <c r="AU40" s="49" t="n">
        <v>0</v>
      </c>
      <c r="AV40" s="108" t="n">
        <v>0</v>
      </c>
      <c r="AW40" s="108" t="n">
        <v>0</v>
      </c>
      <c r="AX40" s="108" t="n">
        <v>0</v>
      </c>
      <c r="AY40" s="49" t="inlineStr">
        <is>
          <t>No</t>
        </is>
      </c>
      <c r="AZ40" s="49" t="n">
        <v>59986</v>
      </c>
      <c r="BA40" s="49" t="inlineStr">
        <is>
          <t>NUEVA E.P.S</t>
        </is>
      </c>
      <c r="BB40" s="49" t="inlineStr">
        <is>
          <t>PORVENIR A.F.P.</t>
        </is>
      </c>
      <c r="BC40" s="49" t="inlineStr">
        <is>
          <t>CCF DE CALDAS</t>
        </is>
      </c>
      <c r="BD40" s="49" t="inlineStr">
        <is>
          <t>RIESGOS PROFESIONALES COLMENA S.A.</t>
        </is>
      </c>
      <c r="BE40" s="49" t="inlineStr">
        <is>
          <t>PORVENIR CESANTIAS</t>
        </is>
      </c>
      <c r="BF40" s="49" t="n">
        <v>0.522</v>
      </c>
      <c r="BG40" s="49" t="n">
        <v>220</v>
      </c>
      <c r="BH40" s="49" t="n">
        <v>15</v>
      </c>
      <c r="BI40" s="49" t="inlineStr">
        <is>
          <t xml:space="preserve">0           </t>
        </is>
      </c>
      <c r="BJ40" s="49" t="inlineStr">
        <is>
          <t xml:space="preserve">NO APLICA                               </t>
        </is>
      </c>
      <c r="BK40" s="49" t="inlineStr">
        <is>
          <t>02</t>
        </is>
      </c>
      <c r="BL40" s="49" t="inlineStr">
        <is>
          <t xml:space="preserve">Caldas                                  </t>
        </is>
      </c>
      <c r="BM40" s="49" t="inlineStr">
        <is>
          <t>02</t>
        </is>
      </c>
      <c r="BN40" s="49" t="inlineStr">
        <is>
          <t xml:space="preserve">Supia                                   </t>
        </is>
      </c>
      <c r="BO40" s="49" t="inlineStr">
        <is>
          <t>0</t>
        </is>
      </c>
      <c r="BP40" s="49" t="inlineStr">
        <is>
          <t>NO APLICA</t>
        </is>
      </c>
      <c r="BQ40" s="49" t="inlineStr">
        <is>
          <t>0</t>
        </is>
      </c>
      <c r="BR40" s="49" t="inlineStr">
        <is>
          <t>NO APLICA</t>
        </is>
      </c>
      <c r="BS40" s="49" t="inlineStr">
        <is>
          <t>0</t>
        </is>
      </c>
      <c r="BT40" s="49" t="inlineStr">
        <is>
          <t>NO APLICA</t>
        </is>
      </c>
      <c r="BU40" s="49" t="inlineStr">
        <is>
          <t>0</t>
        </is>
      </c>
      <c r="BV40" s="49" t="inlineStr">
        <is>
          <t>NO APLICA</t>
        </is>
      </c>
      <c r="BW40" s="49" t="inlineStr">
        <is>
          <t>No</t>
        </is>
      </c>
      <c r="BX40" s="49" t="inlineStr">
        <is>
          <t xml:space="preserve">No Aplica                     </t>
        </is>
      </c>
    </row>
    <row r="41" ht="22.5" customHeight="1">
      <c r="A41" s="49" t="n">
        <v>1059694771</v>
      </c>
      <c r="B41" s="49" t="inlineStr">
        <is>
          <t>082</t>
        </is>
      </c>
      <c r="C41" s="49" t="n">
        <v>1059694771</v>
      </c>
      <c r="D41" s="49" t="inlineStr">
        <is>
          <t>CC</t>
        </is>
      </c>
      <c r="E41" s="49" t="inlineStr">
        <is>
          <t>TREJOS DIAZ ANDREA</t>
        </is>
      </c>
      <c r="F41" s="49" t="inlineStr">
        <is>
          <t>F</t>
        </is>
      </c>
      <c r="G41" s="49" t="inlineStr">
        <is>
          <t xml:space="preserve">A  </t>
        </is>
      </c>
      <c r="H41" s="49" t="inlineStr">
        <is>
          <t>+</t>
        </is>
      </c>
      <c r="I41" s="49" t="inlineStr">
        <is>
          <t>SOLTERO</t>
        </is>
      </c>
      <c r="J41" s="49" t="inlineStr">
        <is>
          <t xml:space="preserve">RIOSUCIO                      </t>
        </is>
      </c>
      <c r="K41" s="49" t="n">
        <v>0</v>
      </c>
      <c r="L41" s="49" t="inlineStr">
        <is>
          <t>18/05/2004</t>
        </is>
      </c>
      <c r="M41" s="49" t="inlineStr">
        <is>
          <t xml:space="preserve">SUPIA                         </t>
        </is>
      </c>
      <c r="N41" s="49" t="inlineStr">
        <is>
          <t xml:space="preserve">0                   </t>
        </is>
      </c>
      <c r="O41" s="49" t="inlineStr">
        <is>
          <t xml:space="preserve"> 3197807153</t>
        </is>
      </c>
      <c r="P41" s="49" t="inlineStr">
        <is>
          <t>VDA LAS ESTANCIAS</t>
        </is>
      </c>
      <c r="Q41" s="49" t="inlineStr">
        <is>
          <t>trejosandrea1805@gmail.com</t>
        </is>
      </c>
      <c r="R41" s="49" t="inlineStr">
        <is>
          <t>AUXILIAR DE EXPLORACIÓN</t>
        </is>
      </c>
      <c r="S41" s="108" t="n">
        <v>91.66666600000001</v>
      </c>
      <c r="T41" s="108" t="n">
        <v>0</v>
      </c>
      <c r="U41" s="108" t="n">
        <v>220</v>
      </c>
      <c r="V41" s="49" t="inlineStr">
        <is>
          <t>CONSIG. CTA AHORROS</t>
        </is>
      </c>
      <c r="W41" s="49" t="inlineStr">
        <is>
          <t xml:space="preserve">BANCO DAVIVIENDA S.A.         </t>
        </is>
      </c>
      <c r="X41" s="49" t="inlineStr">
        <is>
          <t xml:space="preserve">0550488439163392         </t>
        </is>
      </c>
      <c r="Y41" s="49" t="inlineStr">
        <is>
          <t xml:space="preserve">NO APLICA                     </t>
        </is>
      </c>
      <c r="Z41" s="49" t="inlineStr">
        <is>
          <t>CM0100-EXP</t>
        </is>
      </c>
      <c r="AA41" s="49" t="inlineStr">
        <is>
          <t>CM0100-EXP</t>
        </is>
      </c>
      <c r="AB41" s="49" t="inlineStr">
        <is>
          <t xml:space="preserve">01 </t>
        </is>
      </c>
      <c r="AC41" s="49" t="inlineStr">
        <is>
          <t xml:space="preserve">                </t>
        </is>
      </c>
      <c r="AD41" s="49" t="inlineStr">
        <is>
          <t>LEY 50</t>
        </is>
      </c>
      <c r="AE41" s="49" t="inlineStr">
        <is>
          <t>No</t>
        </is>
      </c>
      <c r="AF41" s="49" t="inlineStr">
        <is>
          <t>Normal</t>
        </is>
      </c>
      <c r="AG41" s="49" t="n"/>
      <c r="AH41" s="49" t="inlineStr">
        <is>
          <t>Si</t>
        </is>
      </c>
      <c r="AI41" s="49" t="inlineStr">
        <is>
          <t xml:space="preserve">Normal              </t>
        </is>
      </c>
      <c r="AJ41" s="49" t="inlineStr">
        <is>
          <t xml:space="preserve">Quincenal                     </t>
        </is>
      </c>
      <c r="AK41" s="49" t="inlineStr">
        <is>
          <t>NO</t>
        </is>
      </c>
      <c r="AL41" s="49" t="inlineStr">
        <is>
          <t>NO</t>
        </is>
      </c>
      <c r="AM41" s="49" t="inlineStr">
        <is>
          <t>25/06/2024</t>
        </is>
      </c>
      <c r="AN41" s="49" t="n"/>
      <c r="AO41" s="49" t="n"/>
      <c r="AP41" s="49" t="inlineStr">
        <is>
          <t xml:space="preserve">NO APLICA                </t>
        </is>
      </c>
      <c r="AQ41" s="49" t="n">
        <v>141</v>
      </c>
      <c r="AR41" s="49" t="inlineStr">
        <is>
          <t>01</t>
        </is>
      </c>
      <c r="AS41" s="49" t="n">
        <v>1</v>
      </c>
      <c r="AT41" s="49" t="inlineStr">
        <is>
          <t>No</t>
        </is>
      </c>
      <c r="AU41" s="49" t="n">
        <v>0</v>
      </c>
      <c r="AV41" s="108" t="n">
        <v>0</v>
      </c>
      <c r="AW41" s="108" t="n">
        <v>0</v>
      </c>
      <c r="AX41" s="108" t="n">
        <v>0</v>
      </c>
      <c r="AY41" s="49" t="inlineStr">
        <is>
          <t>No</t>
        </is>
      </c>
      <c r="AZ41" s="49" t="n">
        <v>73809</v>
      </c>
      <c r="BA41" s="49" t="inlineStr">
        <is>
          <t>NUEVA E.P.S</t>
        </is>
      </c>
      <c r="BB41" s="49" t="inlineStr">
        <is>
          <t>PROTECCION A.F.P</t>
        </is>
      </c>
      <c r="BC41" s="49" t="inlineStr">
        <is>
          <t>CCF DE CALDAS</t>
        </is>
      </c>
      <c r="BD41" s="49" t="inlineStr">
        <is>
          <t>RIESGOS PROFESIONALES COLMENA S.A.</t>
        </is>
      </c>
      <c r="BE41" s="49" t="inlineStr">
        <is>
          <t>PORVENIR CESANTIAS</t>
        </is>
      </c>
      <c r="BF41" s="49" t="n">
        <v>6.96</v>
      </c>
      <c r="BG41" s="49" t="n">
        <v>220</v>
      </c>
      <c r="BH41" s="49" t="n">
        <v>15</v>
      </c>
      <c r="BI41" s="49" t="inlineStr">
        <is>
          <t xml:space="preserve">0           </t>
        </is>
      </c>
      <c r="BJ41" s="49" t="inlineStr">
        <is>
          <t xml:space="preserve">NO APLICA                               </t>
        </is>
      </c>
      <c r="BK41" s="49" t="inlineStr">
        <is>
          <t xml:space="preserve">0           </t>
        </is>
      </c>
      <c r="BL41" s="49" t="inlineStr">
        <is>
          <t xml:space="preserve">NO APLICA                               </t>
        </is>
      </c>
      <c r="BM41" s="49" t="inlineStr">
        <is>
          <t xml:space="preserve">0           </t>
        </is>
      </c>
      <c r="BN41" s="49" t="inlineStr">
        <is>
          <t xml:space="preserve">NO APLICA                               </t>
        </is>
      </c>
      <c r="BO41" s="49" t="inlineStr">
        <is>
          <t>0</t>
        </is>
      </c>
      <c r="BP41" s="49" t="inlineStr">
        <is>
          <t>NO APLICA</t>
        </is>
      </c>
      <c r="BQ41" s="49" t="inlineStr">
        <is>
          <t>0</t>
        </is>
      </c>
      <c r="BR41" s="49" t="inlineStr">
        <is>
          <t>NO APLICA</t>
        </is>
      </c>
      <c r="BS41" s="49" t="inlineStr">
        <is>
          <t>0</t>
        </is>
      </c>
      <c r="BT41" s="49" t="inlineStr">
        <is>
          <t>NO APLICA</t>
        </is>
      </c>
      <c r="BU41" s="49" t="inlineStr">
        <is>
          <t>0</t>
        </is>
      </c>
      <c r="BV41" s="49" t="inlineStr">
        <is>
          <t>NO APLICA</t>
        </is>
      </c>
      <c r="BW41" s="49" t="inlineStr">
        <is>
          <t>No</t>
        </is>
      </c>
      <c r="BX41" s="49" t="inlineStr">
        <is>
          <t xml:space="preserve">No Aplica                     </t>
        </is>
      </c>
    </row>
    <row r="42" ht="22.5" customHeight="1">
      <c r="A42" s="49" t="n">
        <v>1059706306</v>
      </c>
      <c r="B42" s="49" t="inlineStr">
        <is>
          <t>073</t>
        </is>
      </c>
      <c r="C42" s="49" t="n">
        <v>1059706306</v>
      </c>
      <c r="D42" s="49" t="inlineStr">
        <is>
          <t>CC</t>
        </is>
      </c>
      <c r="E42" s="49" t="inlineStr">
        <is>
          <t>MAFLA SOTO CONNY DAYANA</t>
        </is>
      </c>
      <c r="F42" s="49" t="inlineStr">
        <is>
          <t>F</t>
        </is>
      </c>
      <c r="G42" s="49" t="inlineStr">
        <is>
          <t xml:space="preserve">A  </t>
        </is>
      </c>
      <c r="H42" s="49" t="inlineStr">
        <is>
          <t>+</t>
        </is>
      </c>
      <c r="I42" s="49" t="inlineStr">
        <is>
          <t>SOLTERO</t>
        </is>
      </c>
      <c r="J42" s="49" t="inlineStr">
        <is>
          <t xml:space="preserve">RIOSUCIO                      </t>
        </is>
      </c>
      <c r="K42" s="49" t="n">
        <v>0</v>
      </c>
      <c r="L42" s="49" t="inlineStr">
        <is>
          <t>18/09/1993</t>
        </is>
      </c>
      <c r="M42" s="49" t="inlineStr">
        <is>
          <t xml:space="preserve">SUPIA                         </t>
        </is>
      </c>
      <c r="N42" s="49" t="inlineStr">
        <is>
          <t xml:space="preserve">0                   </t>
        </is>
      </c>
      <c r="O42" s="49" t="inlineStr">
        <is>
          <t>3207161145</t>
        </is>
      </c>
      <c r="P42" s="49" t="inlineStr">
        <is>
          <t xml:space="preserve">CL 9 13 A         </t>
        </is>
      </c>
      <c r="Q42" s="49" t="inlineStr">
        <is>
          <t>connymafla98@gmail.com</t>
        </is>
      </c>
      <c r="R42" s="49" t="inlineStr">
        <is>
          <t>ANALISTA HSE</t>
        </is>
      </c>
      <c r="S42" s="108" t="n">
        <v>91.66666600000001</v>
      </c>
      <c r="T42" s="108" t="n">
        <v>0</v>
      </c>
      <c r="U42" s="108" t="n">
        <v>220</v>
      </c>
      <c r="V42" s="49" t="inlineStr">
        <is>
          <t>CONSIG. CTA AHORROS</t>
        </is>
      </c>
      <c r="W42" s="49" t="inlineStr">
        <is>
          <t xml:space="preserve">BANCO DAVIVIENDA S.A.         </t>
        </is>
      </c>
      <c r="X42" s="49" t="inlineStr">
        <is>
          <t xml:space="preserve">0550488445012096         </t>
        </is>
      </c>
      <c r="Y42" s="49" t="inlineStr">
        <is>
          <t xml:space="preserve">NO APLICA                     </t>
        </is>
      </c>
      <c r="Z42" s="49" t="inlineStr">
        <is>
          <t>CM0204-ESG</t>
        </is>
      </c>
      <c r="AA42" s="49" t="inlineStr">
        <is>
          <t>CM0204-ESGHSE</t>
        </is>
      </c>
      <c r="AB42" s="49" t="inlineStr">
        <is>
          <t xml:space="preserve">01 </t>
        </is>
      </c>
      <c r="AC42" s="49" t="inlineStr">
        <is>
          <t xml:space="preserve">                </t>
        </is>
      </c>
      <c r="AD42" s="49" t="inlineStr">
        <is>
          <t>LEY 50</t>
        </is>
      </c>
      <c r="AE42" s="49" t="inlineStr">
        <is>
          <t>No</t>
        </is>
      </c>
      <c r="AF42" s="49" t="inlineStr">
        <is>
          <t>Normal</t>
        </is>
      </c>
      <c r="AG42" s="49" t="n"/>
      <c r="AH42" s="49" t="inlineStr">
        <is>
          <t>Si</t>
        </is>
      </c>
      <c r="AI42" s="49" t="inlineStr">
        <is>
          <t xml:space="preserve">Normal              </t>
        </is>
      </c>
      <c r="AJ42" s="49" t="inlineStr">
        <is>
          <t xml:space="preserve">Quincenal                     </t>
        </is>
      </c>
      <c r="AK42" s="49" t="inlineStr">
        <is>
          <t>NO</t>
        </is>
      </c>
      <c r="AL42" s="49" t="inlineStr">
        <is>
          <t>NO</t>
        </is>
      </c>
      <c r="AM42" s="49" t="inlineStr">
        <is>
          <t>02/05/2024</t>
        </is>
      </c>
      <c r="AN42" s="49" t="n"/>
      <c r="AO42" s="49" t="n"/>
      <c r="AP42" s="49" t="inlineStr">
        <is>
          <t xml:space="preserve">NO APLICA                </t>
        </is>
      </c>
      <c r="AQ42" s="49" t="n">
        <v>129</v>
      </c>
      <c r="AR42" s="49" t="inlineStr">
        <is>
          <t>01</t>
        </is>
      </c>
      <c r="AS42" s="49" t="n">
        <v>1</v>
      </c>
      <c r="AT42" s="49" t="inlineStr">
        <is>
          <t>No</t>
        </is>
      </c>
      <c r="AU42" s="49" t="n">
        <v>0</v>
      </c>
      <c r="AV42" s="108" t="n">
        <v>0</v>
      </c>
      <c r="AW42" s="108" t="n">
        <v>0</v>
      </c>
      <c r="AX42" s="108" t="n">
        <v>0</v>
      </c>
      <c r="AY42" s="49" t="inlineStr">
        <is>
          <t>No</t>
        </is>
      </c>
      <c r="AZ42" s="49" t="n">
        <v>66768</v>
      </c>
      <c r="BA42" s="49" t="inlineStr">
        <is>
          <t>NUEVA E.P.S</t>
        </is>
      </c>
      <c r="BB42" s="49" t="inlineStr">
        <is>
          <t>PORVENIR A.F.P.</t>
        </is>
      </c>
      <c r="BC42" s="49" t="inlineStr">
        <is>
          <t>CCF DE CALDAS</t>
        </is>
      </c>
      <c r="BD42" s="49" t="inlineStr">
        <is>
          <t>RIESGOS PROFESIONALES COLMENA S.A.</t>
        </is>
      </c>
      <c r="BE42" s="49" t="inlineStr">
        <is>
          <t>PORVENIR CESANTIAS</t>
        </is>
      </c>
      <c r="BF42" s="49" t="n">
        <v>6.96</v>
      </c>
      <c r="BG42" s="49" t="n">
        <v>220</v>
      </c>
      <c r="BH42" s="49" t="n">
        <v>15</v>
      </c>
      <c r="BI42" s="49" t="inlineStr">
        <is>
          <t xml:space="preserve">0           </t>
        </is>
      </c>
      <c r="BJ42" s="49" t="inlineStr">
        <is>
          <t xml:space="preserve">NO APLICA                               </t>
        </is>
      </c>
      <c r="BK42" s="49" t="inlineStr">
        <is>
          <t>02</t>
        </is>
      </c>
      <c r="BL42" s="49" t="inlineStr">
        <is>
          <t xml:space="preserve">Caldas                                  </t>
        </is>
      </c>
      <c r="BM42" s="49" t="inlineStr">
        <is>
          <t>02</t>
        </is>
      </c>
      <c r="BN42" s="49" t="inlineStr">
        <is>
          <t xml:space="preserve">Supia                                   </t>
        </is>
      </c>
      <c r="BO42" s="49" t="inlineStr">
        <is>
          <t>0</t>
        </is>
      </c>
      <c r="BP42" s="49" t="inlineStr">
        <is>
          <t>NO APLICA</t>
        </is>
      </c>
      <c r="BQ42" s="49" t="inlineStr">
        <is>
          <t>0</t>
        </is>
      </c>
      <c r="BR42" s="49" t="inlineStr">
        <is>
          <t>NO APLICA</t>
        </is>
      </c>
      <c r="BS42" s="49" t="inlineStr">
        <is>
          <t>0</t>
        </is>
      </c>
      <c r="BT42" s="49" t="inlineStr">
        <is>
          <t>NO APLICA</t>
        </is>
      </c>
      <c r="BU42" s="49" t="inlineStr">
        <is>
          <t>0</t>
        </is>
      </c>
      <c r="BV42" s="49" t="inlineStr">
        <is>
          <t>NO APLICA</t>
        </is>
      </c>
      <c r="BW42" s="49" t="inlineStr">
        <is>
          <t>No</t>
        </is>
      </c>
      <c r="BX42" s="49" t="inlineStr">
        <is>
          <t xml:space="preserve">No Aplica                     </t>
        </is>
      </c>
    </row>
    <row r="43" ht="15" customHeight="1">
      <c r="A43" s="49" t="n">
        <v>1059710108</v>
      </c>
      <c r="B43" s="49" t="inlineStr">
        <is>
          <t xml:space="preserve"> 156</t>
        </is>
      </c>
      <c r="C43" s="49" t="n">
        <v>1059710108</v>
      </c>
      <c r="D43" s="49" t="inlineStr">
        <is>
          <t>CC</t>
        </is>
      </c>
      <c r="E43" s="49" t="inlineStr">
        <is>
          <t>GAÑAN BUENO JOSE ALBEIRO</t>
        </is>
      </c>
      <c r="F43" s="49" t="inlineStr">
        <is>
          <t>M</t>
        </is>
      </c>
      <c r="G43" s="49" t="inlineStr">
        <is>
          <t xml:space="preserve">A  </t>
        </is>
      </c>
      <c r="H43" s="49" t="inlineStr">
        <is>
          <t>+</t>
        </is>
      </c>
      <c r="I43" s="49" t="inlineStr">
        <is>
          <t>SOLTERO</t>
        </is>
      </c>
      <c r="J43" s="49" t="inlineStr">
        <is>
          <t xml:space="preserve">RIOSUCIO                      </t>
        </is>
      </c>
      <c r="K43" s="49" t="n">
        <v>0</v>
      </c>
      <c r="L43" s="49" t="inlineStr">
        <is>
          <t>09/07/1996</t>
        </is>
      </c>
      <c r="M43" s="49" t="inlineStr">
        <is>
          <t xml:space="preserve">SUPIA                         </t>
        </is>
      </c>
      <c r="N43" s="49" t="inlineStr">
        <is>
          <t xml:space="preserve">0000                </t>
        </is>
      </c>
      <c r="O43" s="49" t="inlineStr">
        <is>
          <t>3114788525</t>
        </is>
      </c>
      <c r="P43" s="49" t="inlineStr">
        <is>
          <t>VDA SAN LORENSO</t>
        </is>
      </c>
      <c r="Q43" s="49" t="inlineStr">
        <is>
          <t>albeiromapache@gmail.com</t>
        </is>
      </c>
      <c r="R43" s="49" t="inlineStr">
        <is>
          <t>AUXILIAR DE PROTECCION</t>
        </is>
      </c>
      <c r="S43" s="108" t="n">
        <v>91.66666600000001</v>
      </c>
      <c r="T43" s="108" t="n">
        <v>0</v>
      </c>
      <c r="U43" s="108" t="n">
        <v>220</v>
      </c>
      <c r="V43" s="49" t="inlineStr">
        <is>
          <t>CONSIG. CTA AHORROS</t>
        </is>
      </c>
      <c r="W43" s="49" t="inlineStr">
        <is>
          <t xml:space="preserve">BANCOLOMBIA S.A.              </t>
        </is>
      </c>
      <c r="X43" s="49" t="inlineStr">
        <is>
          <t xml:space="preserve">58330393490              </t>
        </is>
      </c>
      <c r="Y43" s="49" t="inlineStr">
        <is>
          <t xml:space="preserve">NO APLICA                     </t>
        </is>
      </c>
      <c r="Z43" s="49" t="inlineStr">
        <is>
          <t>CM0400-PRO</t>
        </is>
      </c>
      <c r="AA43" s="49" t="inlineStr">
        <is>
          <t>CM0400-PRO</t>
        </is>
      </c>
      <c r="AB43" s="49" t="inlineStr">
        <is>
          <t xml:space="preserve">01 </t>
        </is>
      </c>
      <c r="AC43" s="49" t="inlineStr">
        <is>
          <t xml:space="preserve">                </t>
        </is>
      </c>
      <c r="AD43" s="49" t="inlineStr">
        <is>
          <t>LEY 50</t>
        </is>
      </c>
      <c r="AE43" s="49" t="inlineStr">
        <is>
          <t>No</t>
        </is>
      </c>
      <c r="AF43" s="49" t="inlineStr">
        <is>
          <t>Normal</t>
        </is>
      </c>
      <c r="AG43" s="49" t="n"/>
      <c r="AH43" s="49" t="inlineStr">
        <is>
          <t>Si</t>
        </is>
      </c>
      <c r="AI43" s="49" t="inlineStr">
        <is>
          <t xml:space="preserve">Normal              </t>
        </is>
      </c>
      <c r="AJ43" s="49" t="inlineStr">
        <is>
          <t xml:space="preserve">Quincenal                     </t>
        </is>
      </c>
      <c r="AK43" s="49" t="inlineStr">
        <is>
          <t>NO</t>
        </is>
      </c>
      <c r="AL43" s="49" t="inlineStr">
        <is>
          <t>NO</t>
        </is>
      </c>
      <c r="AM43" s="49" t="inlineStr">
        <is>
          <t>05/01/2026</t>
        </is>
      </c>
      <c r="AN43" s="49" t="n"/>
      <c r="AO43" s="49" t="n"/>
      <c r="AP43" s="49" t="inlineStr">
        <is>
          <t xml:space="preserve">NO APLICA                </t>
        </is>
      </c>
      <c r="AQ43" s="49" t="n">
        <v>215</v>
      </c>
      <c r="AR43" s="49" t="inlineStr">
        <is>
          <t>01</t>
        </is>
      </c>
      <c r="AS43" s="49" t="n">
        <v>1</v>
      </c>
      <c r="AT43" s="49" t="inlineStr">
        <is>
          <t>No</t>
        </is>
      </c>
      <c r="AU43" s="49" t="n">
        <v>0</v>
      </c>
      <c r="AV43" s="108" t="n">
        <v>0</v>
      </c>
      <c r="AW43" s="108" t="n">
        <v>0</v>
      </c>
      <c r="AX43" s="108" t="n">
        <v>0</v>
      </c>
      <c r="AY43" s="49" t="inlineStr">
        <is>
          <t>No</t>
        </is>
      </c>
      <c r="AZ43" s="49" t="n">
        <v>0</v>
      </c>
      <c r="BA43" s="49" t="inlineStr">
        <is>
          <t>NUEVA E.P.S</t>
        </is>
      </c>
      <c r="BB43" s="49" t="inlineStr">
        <is>
          <t>PORVENIR A.F.P.</t>
        </is>
      </c>
      <c r="BC43" s="49" t="inlineStr">
        <is>
          <t>CCF DE CALDAS</t>
        </is>
      </c>
      <c r="BD43" s="49" t="inlineStr">
        <is>
          <t>RIESGOS PROFESIONALES COLMENA S.A.</t>
        </is>
      </c>
      <c r="BE43" s="49" t="inlineStr">
        <is>
          <t>PORVENIR CESANTIAS</t>
        </is>
      </c>
      <c r="BF43" s="49" t="n">
        <v>6.96</v>
      </c>
      <c r="BG43" s="49" t="n">
        <v>220</v>
      </c>
      <c r="BH43" s="49" t="n">
        <v>15</v>
      </c>
      <c r="BI43" s="49" t="inlineStr">
        <is>
          <t xml:space="preserve">0           </t>
        </is>
      </c>
      <c r="BJ43" s="49" t="inlineStr">
        <is>
          <t xml:space="preserve">NO APLICA                               </t>
        </is>
      </c>
      <c r="BK43" s="49" t="inlineStr">
        <is>
          <t>02</t>
        </is>
      </c>
      <c r="BL43" s="49" t="inlineStr">
        <is>
          <t xml:space="preserve">Caldas                                  </t>
        </is>
      </c>
      <c r="BM43" s="49" t="inlineStr">
        <is>
          <t>02</t>
        </is>
      </c>
      <c r="BN43" s="49" t="inlineStr">
        <is>
          <t xml:space="preserve">Supia                                   </t>
        </is>
      </c>
      <c r="BO43" s="49" t="inlineStr">
        <is>
          <t>0</t>
        </is>
      </c>
      <c r="BP43" s="49" t="inlineStr">
        <is>
          <t>NO APLICA</t>
        </is>
      </c>
      <c r="BQ43" s="49" t="inlineStr">
        <is>
          <t>0</t>
        </is>
      </c>
      <c r="BR43" s="49" t="inlineStr">
        <is>
          <t>NO APLICA</t>
        </is>
      </c>
      <c r="BS43" s="49" t="inlineStr">
        <is>
          <t>0</t>
        </is>
      </c>
      <c r="BT43" s="49" t="inlineStr">
        <is>
          <t>NO APLICA</t>
        </is>
      </c>
      <c r="BU43" s="49" t="inlineStr">
        <is>
          <t>0</t>
        </is>
      </c>
      <c r="BV43" s="49" t="inlineStr">
        <is>
          <t>NO APLICA</t>
        </is>
      </c>
      <c r="BW43" s="49" t="inlineStr">
        <is>
          <t>No</t>
        </is>
      </c>
      <c r="BX43" s="49" t="inlineStr">
        <is>
          <t xml:space="preserve">No Aplica                     </t>
        </is>
      </c>
    </row>
    <row r="44" ht="22.5" customHeight="1">
      <c r="A44" s="49" t="n">
        <v>1059713194</v>
      </c>
      <c r="B44" s="49" t="inlineStr">
        <is>
          <t>101</t>
        </is>
      </c>
      <c r="C44" s="49" t="n">
        <v>1059713194</v>
      </c>
      <c r="D44" s="49" t="inlineStr">
        <is>
          <t>CC</t>
        </is>
      </c>
      <c r="E44" s="49" t="inlineStr">
        <is>
          <t>DIAZ REYES ANDERSON DAVID</t>
        </is>
      </c>
      <c r="F44" s="49" t="inlineStr">
        <is>
          <t>M</t>
        </is>
      </c>
      <c r="G44" s="49" t="inlineStr">
        <is>
          <t xml:space="preserve">A  </t>
        </is>
      </c>
      <c r="H44" s="49" t="inlineStr">
        <is>
          <t>+</t>
        </is>
      </c>
      <c r="I44" s="49" t="inlineStr">
        <is>
          <t>DESCONOCIDO</t>
        </is>
      </c>
      <c r="J44" s="49" t="inlineStr">
        <is>
          <t xml:space="preserve">RIOSUCIO                      </t>
        </is>
      </c>
      <c r="K44" s="49" t="n">
        <v>0</v>
      </c>
      <c r="L44" s="49" t="inlineStr">
        <is>
          <t>08/05/1999</t>
        </is>
      </c>
      <c r="M44" s="49" t="inlineStr">
        <is>
          <t xml:space="preserve">SUPIA                         </t>
        </is>
      </c>
      <c r="N44" s="49" t="inlineStr">
        <is>
          <t xml:space="preserve">0                   </t>
        </is>
      </c>
      <c r="O44" s="49" t="inlineStr">
        <is>
          <t>3227704411</t>
        </is>
      </c>
      <c r="P44" s="49" t="inlineStr">
        <is>
          <t>Riosucio caldas, vereda sipirra</t>
        </is>
      </c>
      <c r="Q44" s="49" t="inlineStr">
        <is>
          <t>laurysalome2018@gmail.com</t>
        </is>
      </c>
      <c r="R44" s="49" t="inlineStr">
        <is>
          <t>AUXILIAR DE PROTECCION</t>
        </is>
      </c>
      <c r="S44" s="108" t="n">
        <v>91.66666600000001</v>
      </c>
      <c r="T44" s="108" t="n">
        <v>0</v>
      </c>
      <c r="U44" s="108" t="n">
        <v>220</v>
      </c>
      <c r="V44" s="49" t="inlineStr">
        <is>
          <t>CONSIG. CTA AHORROS</t>
        </is>
      </c>
      <c r="W44" s="49" t="inlineStr">
        <is>
          <t xml:space="preserve">BANCO DAVIVIENDA S.A.         </t>
        </is>
      </c>
      <c r="X44" s="49" t="inlineStr">
        <is>
          <t xml:space="preserve">0550488442295090         </t>
        </is>
      </c>
      <c r="Y44" s="49" t="inlineStr">
        <is>
          <t xml:space="preserve">NO APLICA                     </t>
        </is>
      </c>
      <c r="Z44" s="49" t="inlineStr">
        <is>
          <t>CM0400-PRO</t>
        </is>
      </c>
      <c r="AA44" s="49" t="inlineStr">
        <is>
          <t>CM0400-PRO</t>
        </is>
      </c>
      <c r="AB44" s="49" t="inlineStr">
        <is>
          <t xml:space="preserve">01 </t>
        </is>
      </c>
      <c r="AC44" s="49" t="inlineStr">
        <is>
          <t xml:space="preserve">                </t>
        </is>
      </c>
      <c r="AD44" s="49" t="inlineStr">
        <is>
          <t>LEY 50</t>
        </is>
      </c>
      <c r="AE44" s="49" t="inlineStr">
        <is>
          <t>No</t>
        </is>
      </c>
      <c r="AF44" s="49" t="inlineStr">
        <is>
          <t>Normal</t>
        </is>
      </c>
      <c r="AG44" s="49" t="n"/>
      <c r="AH44" s="49" t="inlineStr">
        <is>
          <t>Si</t>
        </is>
      </c>
      <c r="AI44" s="49" t="inlineStr">
        <is>
          <t xml:space="preserve">Normal              </t>
        </is>
      </c>
      <c r="AJ44" s="49" t="inlineStr">
        <is>
          <t xml:space="preserve">Quincenal                     </t>
        </is>
      </c>
      <c r="AK44" s="49" t="inlineStr">
        <is>
          <t>NO</t>
        </is>
      </c>
      <c r="AL44" s="49" t="inlineStr">
        <is>
          <t>NO</t>
        </is>
      </c>
      <c r="AM44" s="49" t="inlineStr">
        <is>
          <t>16/12/2024</t>
        </is>
      </c>
      <c r="AN44" s="49" t="n"/>
      <c r="AO44" s="49" t="n"/>
      <c r="AP44" s="49" t="inlineStr">
        <is>
          <t xml:space="preserve">NO APLICA                </t>
        </is>
      </c>
      <c r="AQ44" s="49" t="n">
        <v>159</v>
      </c>
      <c r="AR44" s="49" t="inlineStr">
        <is>
          <t>01</t>
        </is>
      </c>
      <c r="AS44" s="49" t="n">
        <v>1</v>
      </c>
      <c r="AT44" s="49" t="inlineStr">
        <is>
          <t>No</t>
        </is>
      </c>
      <c r="AU44" s="49" t="n">
        <v>0</v>
      </c>
      <c r="AV44" s="108" t="n">
        <v>0</v>
      </c>
      <c r="AW44" s="108" t="n">
        <v>0</v>
      </c>
      <c r="AX44" s="108" t="n">
        <v>0</v>
      </c>
      <c r="AY44" s="49" t="inlineStr">
        <is>
          <t>No</t>
        </is>
      </c>
      <c r="AZ44" s="49" t="n">
        <v>59760</v>
      </c>
      <c r="BA44" s="49" t="inlineStr">
        <is>
          <t>NUEVA E.P.S</t>
        </is>
      </c>
      <c r="BB44" s="49" t="inlineStr">
        <is>
          <t>COLFONDOS  A.F.P.</t>
        </is>
      </c>
      <c r="BC44" s="49" t="inlineStr">
        <is>
          <t>CCF DE CALDAS</t>
        </is>
      </c>
      <c r="BD44" s="49" t="inlineStr">
        <is>
          <t>RIESGOS PROFESIONALES COLMENA S.A.</t>
        </is>
      </c>
      <c r="BE44" s="49" t="inlineStr">
        <is>
          <t>PORVENIR CESANTIAS</t>
        </is>
      </c>
      <c r="BF44" s="49" t="n">
        <v>6.96</v>
      </c>
      <c r="BG44" s="49" t="n">
        <v>220</v>
      </c>
      <c r="BH44" s="49" t="n">
        <v>15</v>
      </c>
      <c r="BI44" s="49" t="inlineStr">
        <is>
          <t xml:space="preserve">0           </t>
        </is>
      </c>
      <c r="BJ44" s="49" t="inlineStr">
        <is>
          <t xml:space="preserve">NO APLICA                               </t>
        </is>
      </c>
      <c r="BK44" s="49" t="inlineStr">
        <is>
          <t>02</t>
        </is>
      </c>
      <c r="BL44" s="49" t="inlineStr">
        <is>
          <t xml:space="preserve">Caldas                                  </t>
        </is>
      </c>
      <c r="BM44" s="49" t="inlineStr">
        <is>
          <t>02</t>
        </is>
      </c>
      <c r="BN44" s="49" t="inlineStr">
        <is>
          <t xml:space="preserve">Supia                                   </t>
        </is>
      </c>
      <c r="BO44" s="49" t="inlineStr">
        <is>
          <t>0</t>
        </is>
      </c>
      <c r="BP44" s="49" t="inlineStr">
        <is>
          <t>NO APLICA</t>
        </is>
      </c>
      <c r="BQ44" s="49" t="inlineStr">
        <is>
          <t>0</t>
        </is>
      </c>
      <c r="BR44" s="49" t="inlineStr">
        <is>
          <t>NO APLICA</t>
        </is>
      </c>
      <c r="BS44" s="49" t="inlineStr">
        <is>
          <t>0</t>
        </is>
      </c>
      <c r="BT44" s="49" t="inlineStr">
        <is>
          <t>NO APLICA</t>
        </is>
      </c>
      <c r="BU44" s="49" t="inlineStr">
        <is>
          <t>0</t>
        </is>
      </c>
      <c r="BV44" s="49" t="inlineStr">
        <is>
          <t>NO APLICA</t>
        </is>
      </c>
      <c r="BW44" s="49" t="inlineStr">
        <is>
          <t>No</t>
        </is>
      </c>
      <c r="BX44" s="49" t="inlineStr">
        <is>
          <t xml:space="preserve">No Aplica                     </t>
        </is>
      </c>
    </row>
    <row r="45" ht="22.5" customHeight="1">
      <c r="A45" s="49" t="n">
        <v>1059713241</v>
      </c>
      <c r="B45" s="49" t="inlineStr">
        <is>
          <t xml:space="preserve"> 128</t>
        </is>
      </c>
      <c r="C45" s="49" t="n">
        <v>1059713241</v>
      </c>
      <c r="D45" s="49" t="inlineStr">
        <is>
          <t>CC</t>
        </is>
      </c>
      <c r="E45" s="49" t="inlineStr">
        <is>
          <t>TAPASCO CHAURRA DAVINSON</t>
        </is>
      </c>
      <c r="F45" s="49" t="inlineStr">
        <is>
          <t>M</t>
        </is>
      </c>
      <c r="G45" s="49" t="inlineStr">
        <is>
          <t xml:space="preserve">A  </t>
        </is>
      </c>
      <c r="H45" s="49" t="inlineStr">
        <is>
          <t>+</t>
        </is>
      </c>
      <c r="I45" s="49" t="inlineStr">
        <is>
          <t>DESCONOCIDO</t>
        </is>
      </c>
      <c r="J45" s="49" t="inlineStr">
        <is>
          <t xml:space="preserve">RIOSUCIO                      </t>
        </is>
      </c>
      <c r="K45" s="49" t="n">
        <v>0</v>
      </c>
      <c r="L45" s="49" t="inlineStr">
        <is>
          <t>20/05/1999</t>
        </is>
      </c>
      <c r="M45" s="49" t="inlineStr">
        <is>
          <t xml:space="preserve">SUPIA                         </t>
        </is>
      </c>
      <c r="N45" s="49" t="inlineStr">
        <is>
          <t xml:space="preserve">0000                </t>
        </is>
      </c>
      <c r="O45" s="49" t="inlineStr">
        <is>
          <t>3128249499</t>
        </is>
      </c>
      <c r="P45" s="49" t="inlineStr">
        <is>
          <t>VDA GUSCAL</t>
        </is>
      </c>
      <c r="Q45" s="49" t="inlineStr">
        <is>
          <t>gersonmendoza09@gmail.com</t>
        </is>
      </c>
      <c r="R45" s="49" t="inlineStr">
        <is>
          <t>AUXILIAR DE EXPLORACIÓN</t>
        </is>
      </c>
      <c r="S45" s="108" t="n">
        <v>91.66666600000001</v>
      </c>
      <c r="T45" s="108" t="n">
        <v>0</v>
      </c>
      <c r="U45" s="108" t="n">
        <v>220</v>
      </c>
      <c r="V45" s="49" t="inlineStr">
        <is>
          <t>CONSIG. CTA AHORROS</t>
        </is>
      </c>
      <c r="W45" s="49" t="inlineStr">
        <is>
          <t xml:space="preserve">BANCO DAVIVIENDA S.A.         </t>
        </is>
      </c>
      <c r="X45" s="49" t="inlineStr">
        <is>
          <t xml:space="preserve">0550488445504167         </t>
        </is>
      </c>
      <c r="Y45" s="49" t="inlineStr">
        <is>
          <t xml:space="preserve">NO APLICA                     </t>
        </is>
      </c>
      <c r="Z45" s="49" t="inlineStr">
        <is>
          <t>CM0100-EXP</t>
        </is>
      </c>
      <c r="AA45" s="49" t="inlineStr">
        <is>
          <t>CM0100-EXP</t>
        </is>
      </c>
      <c r="AB45" s="49" t="inlineStr">
        <is>
          <t xml:space="preserve">01 </t>
        </is>
      </c>
      <c r="AC45" s="49" t="inlineStr">
        <is>
          <t xml:space="preserve">                </t>
        </is>
      </c>
      <c r="AD45" s="49" t="inlineStr">
        <is>
          <t>LEY 50</t>
        </is>
      </c>
      <c r="AE45" s="49" t="inlineStr">
        <is>
          <t>No</t>
        </is>
      </c>
      <c r="AF45" s="49" t="inlineStr">
        <is>
          <t>Normal</t>
        </is>
      </c>
      <c r="AG45" s="49" t="n"/>
      <c r="AH45" s="49" t="inlineStr">
        <is>
          <t>Si</t>
        </is>
      </c>
      <c r="AI45" s="49" t="inlineStr">
        <is>
          <t xml:space="preserve">Normal              </t>
        </is>
      </c>
      <c r="AJ45" s="49" t="inlineStr">
        <is>
          <t xml:space="preserve">Quincenal                     </t>
        </is>
      </c>
      <c r="AK45" s="49" t="inlineStr">
        <is>
          <t>NO</t>
        </is>
      </c>
      <c r="AL45" s="49" t="inlineStr">
        <is>
          <t>NO</t>
        </is>
      </c>
      <c r="AM45" s="49" t="inlineStr">
        <is>
          <t>16/06/2025</t>
        </is>
      </c>
      <c r="AN45" s="49" t="n"/>
      <c r="AO45" s="49" t="n"/>
      <c r="AP45" s="49" t="inlineStr">
        <is>
          <t xml:space="preserve">NO APLICA                </t>
        </is>
      </c>
      <c r="AQ45" s="49" t="n">
        <v>184</v>
      </c>
      <c r="AR45" s="49" t="inlineStr">
        <is>
          <t>01</t>
        </is>
      </c>
      <c r="AS45" s="49" t="n">
        <v>1</v>
      </c>
      <c r="AT45" s="49" t="inlineStr">
        <is>
          <t>No</t>
        </is>
      </c>
      <c r="AU45" s="49" t="n">
        <v>0</v>
      </c>
      <c r="AV45" s="108" t="n">
        <v>0</v>
      </c>
      <c r="AW45" s="108" t="n">
        <v>0</v>
      </c>
      <c r="AX45" s="108" t="n">
        <v>0</v>
      </c>
      <c r="AY45" s="49" t="inlineStr">
        <is>
          <t>No</t>
        </is>
      </c>
      <c r="AZ45" s="49" t="n">
        <v>0</v>
      </c>
      <c r="BA45" s="49" t="inlineStr">
        <is>
          <t>SALUD TOTAL E.P.S.</t>
        </is>
      </c>
      <c r="BB45" s="49" t="inlineStr">
        <is>
          <t>PORVENIR A.F.P.</t>
        </is>
      </c>
      <c r="BC45" s="49" t="inlineStr">
        <is>
          <t>CCF DE CALDAS</t>
        </is>
      </c>
      <c r="BD45" s="49" t="inlineStr">
        <is>
          <t>RIESGOS PROFESIONALES COLMENA S.A.</t>
        </is>
      </c>
      <c r="BE45" s="49" t="inlineStr">
        <is>
          <t>PORVENIR CESANTIAS</t>
        </is>
      </c>
      <c r="BF45" s="49" t="n">
        <v>6.96</v>
      </c>
      <c r="BG45" s="49" t="n">
        <v>220</v>
      </c>
      <c r="BH45" s="49" t="n">
        <v>15</v>
      </c>
      <c r="BI45" s="49" t="inlineStr">
        <is>
          <t xml:space="preserve">0           </t>
        </is>
      </c>
      <c r="BJ45" s="49" t="inlineStr">
        <is>
          <t xml:space="preserve">NO APLICA                               </t>
        </is>
      </c>
      <c r="BK45" s="49" t="inlineStr">
        <is>
          <t>02</t>
        </is>
      </c>
      <c r="BL45" s="49" t="inlineStr">
        <is>
          <t xml:space="preserve">Caldas                                  </t>
        </is>
      </c>
      <c r="BM45" s="49" t="inlineStr">
        <is>
          <t>02</t>
        </is>
      </c>
      <c r="BN45" s="49" t="inlineStr">
        <is>
          <t xml:space="preserve">Supia                                   </t>
        </is>
      </c>
      <c r="BO45" s="49" t="inlineStr">
        <is>
          <t>0</t>
        </is>
      </c>
      <c r="BP45" s="49" t="inlineStr">
        <is>
          <t>NO APLICA</t>
        </is>
      </c>
      <c r="BQ45" s="49" t="inlineStr">
        <is>
          <t>0</t>
        </is>
      </c>
      <c r="BR45" s="49" t="inlineStr">
        <is>
          <t>NO APLICA</t>
        </is>
      </c>
      <c r="BS45" s="49" t="inlineStr">
        <is>
          <t>0</t>
        </is>
      </c>
      <c r="BT45" s="49" t="inlineStr">
        <is>
          <t>NO APLICA</t>
        </is>
      </c>
      <c r="BU45" s="49" t="inlineStr">
        <is>
          <t>0</t>
        </is>
      </c>
      <c r="BV45" s="49" t="inlineStr">
        <is>
          <t>NO APLICA</t>
        </is>
      </c>
      <c r="BW45" s="49" t="inlineStr">
        <is>
          <t>No</t>
        </is>
      </c>
      <c r="BX45" s="49" t="inlineStr">
        <is>
          <t xml:space="preserve">No Aplica                     </t>
        </is>
      </c>
    </row>
    <row r="46" ht="15" customHeight="1">
      <c r="A46" s="49" t="n">
        <v>1059810513</v>
      </c>
      <c r="B46" s="49" t="inlineStr">
        <is>
          <t>056</t>
        </is>
      </c>
      <c r="C46" s="49" t="n">
        <v>1059810513</v>
      </c>
      <c r="D46" s="49" t="inlineStr">
        <is>
          <t>CC</t>
        </is>
      </c>
      <c r="E46" s="49" t="inlineStr">
        <is>
          <t>GARCIA GALVIS OSCAR ALEJANDRO</t>
        </is>
      </c>
      <c r="F46" s="49" t="inlineStr">
        <is>
          <t>M</t>
        </is>
      </c>
      <c r="G46" s="49" t="inlineStr">
        <is>
          <t xml:space="preserve">A  </t>
        </is>
      </c>
      <c r="H46" s="49" t="inlineStr">
        <is>
          <t>+</t>
        </is>
      </c>
      <c r="I46" s="49" t="inlineStr">
        <is>
          <t>DESCONOCIDO</t>
        </is>
      </c>
      <c r="J46" s="49" t="inlineStr">
        <is>
          <t xml:space="preserve">SALAMINA                      </t>
        </is>
      </c>
      <c r="K46" s="49" t="n">
        <v>0</v>
      </c>
      <c r="L46" s="49" t="inlineStr">
        <is>
          <t>18/02/1987</t>
        </is>
      </c>
      <c r="M46" s="49" t="inlineStr">
        <is>
          <t xml:space="preserve">MANIZALES                     </t>
        </is>
      </c>
      <c r="N46" s="49" t="inlineStr">
        <is>
          <t xml:space="preserve">NA                  </t>
        </is>
      </c>
      <c r="O46" s="49" t="inlineStr">
        <is>
          <t>3104015641</t>
        </is>
      </c>
      <c r="P46" s="49" t="inlineStr">
        <is>
          <t>CR 23. 73  39</t>
        </is>
      </c>
      <c r="Q46" s="49" t="inlineStr">
        <is>
          <t>oalejandrogg18@gmail.com</t>
        </is>
      </c>
      <c r="R46" s="49" t="inlineStr">
        <is>
          <t>COORDINADOR LOGISTICO 1</t>
        </is>
      </c>
      <c r="S46" s="108" t="n">
        <v>91.66666600000001</v>
      </c>
      <c r="T46" s="108" t="n">
        <v>0</v>
      </c>
      <c r="U46" s="108" t="n">
        <v>220</v>
      </c>
      <c r="V46" s="49" t="inlineStr">
        <is>
          <t>CONSIG. CTA AHORROS</t>
        </is>
      </c>
      <c r="W46" s="49" t="inlineStr">
        <is>
          <t xml:space="preserve">BANCOLOMBIA S.A.              </t>
        </is>
      </c>
      <c r="X46" s="49" t="inlineStr">
        <is>
          <t xml:space="preserve">62334978830              </t>
        </is>
      </c>
      <c r="Y46" s="49" t="inlineStr">
        <is>
          <t xml:space="preserve">NO APLICA                     </t>
        </is>
      </c>
      <c r="Z46" s="49" t="inlineStr">
        <is>
          <t>CM0500-LOG</t>
        </is>
      </c>
      <c r="AA46" s="49" t="inlineStr">
        <is>
          <t>CM0500-LOG</t>
        </is>
      </c>
      <c r="AB46" s="49" t="inlineStr">
        <is>
          <t xml:space="preserve">01 </t>
        </is>
      </c>
      <c r="AC46" s="49" t="inlineStr">
        <is>
          <t xml:space="preserve">                </t>
        </is>
      </c>
      <c r="AD46" s="49" t="inlineStr">
        <is>
          <t>LEY 50</t>
        </is>
      </c>
      <c r="AE46" s="49" t="inlineStr">
        <is>
          <t>No</t>
        </is>
      </c>
      <c r="AF46" s="49" t="inlineStr">
        <is>
          <t>Normal</t>
        </is>
      </c>
      <c r="AG46" s="49" t="n"/>
      <c r="AH46" s="49" t="inlineStr">
        <is>
          <t>Si</t>
        </is>
      </c>
      <c r="AI46" s="49" t="inlineStr">
        <is>
          <t xml:space="preserve">Normal              </t>
        </is>
      </c>
      <c r="AJ46" s="49" t="inlineStr">
        <is>
          <t xml:space="preserve">Quincenal                     </t>
        </is>
      </c>
      <c r="AK46" s="49" t="inlineStr">
        <is>
          <t>NO</t>
        </is>
      </c>
      <c r="AL46" s="49" t="inlineStr">
        <is>
          <t>NO</t>
        </is>
      </c>
      <c r="AM46" s="49" t="inlineStr">
        <is>
          <t>20/06/2023</t>
        </is>
      </c>
      <c r="AN46" s="49" t="n"/>
      <c r="AO46" s="49" t="n"/>
      <c r="AP46" s="49" t="inlineStr">
        <is>
          <t xml:space="preserve">NO APLICA                </t>
        </is>
      </c>
      <c r="AQ46" s="49" t="n">
        <v>100</v>
      </c>
      <c r="AR46" s="49" t="inlineStr">
        <is>
          <t>01</t>
        </is>
      </c>
      <c r="AS46" s="49" t="n">
        <v>1</v>
      </c>
      <c r="AT46" s="49" t="inlineStr">
        <is>
          <t>No</t>
        </is>
      </c>
      <c r="AU46" s="49" t="n">
        <v>0</v>
      </c>
      <c r="AV46" s="108" t="n">
        <v>0</v>
      </c>
      <c r="AW46" s="108" t="n">
        <v>0</v>
      </c>
      <c r="AX46" s="108" t="n">
        <v>0</v>
      </c>
      <c r="AY46" s="49" t="inlineStr">
        <is>
          <t>No</t>
        </is>
      </c>
      <c r="AZ46" s="49" t="n">
        <v>214873</v>
      </c>
      <c r="BA46" s="49" t="inlineStr">
        <is>
          <t>SURA E.P.S.</t>
        </is>
      </c>
      <c r="BB46" s="49" t="inlineStr">
        <is>
          <t>PORVENIR A.F.P.</t>
        </is>
      </c>
      <c r="BC46" s="49" t="inlineStr">
        <is>
          <t>CCF DE CALDAS</t>
        </is>
      </c>
      <c r="BD46" s="49" t="inlineStr">
        <is>
          <t>RIESGOS PROFESIONALES COLMENA S.A.</t>
        </is>
      </c>
      <c r="BE46" s="49" t="inlineStr">
        <is>
          <t>PROTECCION CESANTIAS</t>
        </is>
      </c>
      <c r="BF46" s="49" t="n">
        <v>6.96</v>
      </c>
      <c r="BG46" s="49" t="n">
        <v>220</v>
      </c>
      <c r="BH46" s="49" t="n">
        <v>15</v>
      </c>
      <c r="BI46" s="49" t="inlineStr">
        <is>
          <t xml:space="preserve">0           </t>
        </is>
      </c>
      <c r="BJ46" s="49" t="inlineStr">
        <is>
          <t xml:space="preserve">NO APLICA                               </t>
        </is>
      </c>
      <c r="BK46" s="49" t="inlineStr">
        <is>
          <t>02</t>
        </is>
      </c>
      <c r="BL46" s="49" t="inlineStr">
        <is>
          <t xml:space="preserve">Caldas                                  </t>
        </is>
      </c>
      <c r="BM46" s="49" t="inlineStr">
        <is>
          <t>04</t>
        </is>
      </c>
      <c r="BN46" s="49" t="inlineStr">
        <is>
          <t xml:space="preserve">Otros Lugares                           </t>
        </is>
      </c>
      <c r="BO46" s="49" t="inlineStr">
        <is>
          <t>0</t>
        </is>
      </c>
      <c r="BP46" s="49" t="inlineStr">
        <is>
          <t>NO APLICA</t>
        </is>
      </c>
      <c r="BQ46" s="49" t="inlineStr">
        <is>
          <t>0</t>
        </is>
      </c>
      <c r="BR46" s="49" t="inlineStr">
        <is>
          <t>NO APLICA</t>
        </is>
      </c>
      <c r="BS46" s="49" t="inlineStr">
        <is>
          <t>0</t>
        </is>
      </c>
      <c r="BT46" s="49" t="inlineStr">
        <is>
          <t>NO APLICA</t>
        </is>
      </c>
      <c r="BU46" s="49" t="inlineStr">
        <is>
          <t>0</t>
        </is>
      </c>
      <c r="BV46" s="49" t="inlineStr">
        <is>
          <t>NO APLICA</t>
        </is>
      </c>
      <c r="BW46" s="49" t="inlineStr">
        <is>
          <t>No</t>
        </is>
      </c>
      <c r="BX46" s="49" t="inlineStr">
        <is>
          <t xml:space="preserve">No Aplica                     </t>
        </is>
      </c>
    </row>
    <row r="47" ht="22.5" customHeight="1">
      <c r="A47" s="49" t="n">
        <v>1059811303</v>
      </c>
      <c r="B47" s="49" t="inlineStr">
        <is>
          <t xml:space="preserve"> 151</t>
        </is>
      </c>
      <c r="C47" s="49" t="n">
        <v>1059811303</v>
      </c>
      <c r="D47" s="49" t="inlineStr">
        <is>
          <t>CC</t>
        </is>
      </c>
      <c r="E47" s="49" t="inlineStr">
        <is>
          <t>CIFUENTES ARIAS JUAN ESTEBAN</t>
        </is>
      </c>
      <c r="F47" s="49" t="inlineStr">
        <is>
          <t>M</t>
        </is>
      </c>
      <c r="G47" s="49" t="inlineStr">
        <is>
          <t xml:space="preserve">A  </t>
        </is>
      </c>
      <c r="H47" s="49" t="inlineStr">
        <is>
          <t>+</t>
        </is>
      </c>
      <c r="I47" s="49" t="inlineStr">
        <is>
          <t>SOLTERO</t>
        </is>
      </c>
      <c r="J47" s="49" t="inlineStr">
        <is>
          <t xml:space="preserve">PACORA                        </t>
        </is>
      </c>
      <c r="K47" s="49" t="n">
        <v>0</v>
      </c>
      <c r="L47" s="49" t="inlineStr">
        <is>
          <t>26/04/2006</t>
        </is>
      </c>
      <c r="M47" s="49" t="inlineStr">
        <is>
          <t xml:space="preserve">SUPIA                         </t>
        </is>
      </c>
      <c r="N47" s="49" t="inlineStr">
        <is>
          <t xml:space="preserve">0000                </t>
        </is>
      </c>
      <c r="O47" s="49" t="inlineStr">
        <is>
          <t>3015895776</t>
        </is>
      </c>
      <c r="P47" s="49" t="inlineStr">
        <is>
          <t xml:space="preserve">VDA San Bartolomé </t>
        </is>
      </c>
      <c r="Q47" s="49" t="inlineStr">
        <is>
          <t>Cifuentesalvarezj5@gmail.com</t>
        </is>
      </c>
      <c r="R47" s="49" t="inlineStr">
        <is>
          <t>AUXILIAR DE EXPLORACIÓN</t>
        </is>
      </c>
      <c r="S47" s="108" t="n">
        <v>91.66666600000001</v>
      </c>
      <c r="T47" s="108" t="n">
        <v>0</v>
      </c>
      <c r="U47" s="108" t="n">
        <v>220</v>
      </c>
      <c r="V47" s="49" t="inlineStr">
        <is>
          <t>CONSIG. CTA AHORROS</t>
        </is>
      </c>
      <c r="W47" s="49" t="inlineStr">
        <is>
          <t xml:space="preserve">BANCO DAVIVIENDA S.A.         </t>
        </is>
      </c>
      <c r="X47" s="49" t="inlineStr">
        <is>
          <t xml:space="preserve">0550488446625201         </t>
        </is>
      </c>
      <c r="Y47" s="49" t="inlineStr">
        <is>
          <t xml:space="preserve">NO APLICA                     </t>
        </is>
      </c>
      <c r="Z47" s="49" t="inlineStr">
        <is>
          <t>CM0100-EXP</t>
        </is>
      </c>
      <c r="AA47" s="49" t="inlineStr">
        <is>
          <t>CM0100-EXP</t>
        </is>
      </c>
      <c r="AB47" s="49" t="inlineStr">
        <is>
          <t xml:space="preserve">01 </t>
        </is>
      </c>
      <c r="AC47" s="49" t="inlineStr">
        <is>
          <t xml:space="preserve">                </t>
        </is>
      </c>
      <c r="AD47" s="49" t="inlineStr">
        <is>
          <t>LEY 50</t>
        </is>
      </c>
      <c r="AE47" s="49" t="inlineStr">
        <is>
          <t>No</t>
        </is>
      </c>
      <c r="AF47" s="49" t="inlineStr">
        <is>
          <t>Normal</t>
        </is>
      </c>
      <c r="AG47" s="49" t="n"/>
      <c r="AH47" s="49" t="inlineStr">
        <is>
          <t>Si</t>
        </is>
      </c>
      <c r="AI47" s="49" t="inlineStr">
        <is>
          <t xml:space="preserve">Normal              </t>
        </is>
      </c>
      <c r="AJ47" s="49" t="inlineStr">
        <is>
          <t xml:space="preserve">Quincenal                     </t>
        </is>
      </c>
      <c r="AK47" s="49" t="inlineStr">
        <is>
          <t>NO</t>
        </is>
      </c>
      <c r="AL47" s="49" t="inlineStr">
        <is>
          <t>NO</t>
        </is>
      </c>
      <c r="AM47" s="49" t="inlineStr">
        <is>
          <t>01/12/2025</t>
        </is>
      </c>
      <c r="AN47" s="49" t="n"/>
      <c r="AO47" s="49" t="n"/>
      <c r="AP47" s="49" t="inlineStr">
        <is>
          <t xml:space="preserve">NO APLICA                </t>
        </is>
      </c>
      <c r="AQ47" s="49" t="n">
        <v>213</v>
      </c>
      <c r="AR47" s="49" t="inlineStr">
        <is>
          <t>01</t>
        </is>
      </c>
      <c r="AS47" s="49" t="n">
        <v>1</v>
      </c>
      <c r="AT47" s="49" t="inlineStr">
        <is>
          <t>No</t>
        </is>
      </c>
      <c r="AU47" s="49" t="n">
        <v>0</v>
      </c>
      <c r="AV47" s="108" t="n">
        <v>0</v>
      </c>
      <c r="AW47" s="108" t="n">
        <v>0</v>
      </c>
      <c r="AX47" s="108" t="n">
        <v>0</v>
      </c>
      <c r="AY47" s="49" t="inlineStr">
        <is>
          <t>No</t>
        </is>
      </c>
      <c r="AZ47" s="49" t="n">
        <v>0</v>
      </c>
      <c r="BA47" s="49" t="inlineStr">
        <is>
          <t>SALUD TOTAL E.P.S.</t>
        </is>
      </c>
      <c r="BB47" s="49" t="inlineStr">
        <is>
          <t>PORVENIR A.F.P.</t>
        </is>
      </c>
      <c r="BC47" s="49" t="inlineStr">
        <is>
          <t>CCF DE CALDAS</t>
        </is>
      </c>
      <c r="BD47" s="49" t="inlineStr">
        <is>
          <t>RIESGOS PROFESIONALES COLMENA S.A.</t>
        </is>
      </c>
      <c r="BE47" s="49" t="inlineStr">
        <is>
          <t>PORVENIR CESANTIAS</t>
        </is>
      </c>
      <c r="BF47" s="49" t="n">
        <v>6.96</v>
      </c>
      <c r="BG47" s="49" t="n">
        <v>220</v>
      </c>
      <c r="BH47" s="49" t="n">
        <v>15</v>
      </c>
      <c r="BI47" s="49" t="inlineStr">
        <is>
          <t xml:space="preserve">0           </t>
        </is>
      </c>
      <c r="BJ47" s="49" t="inlineStr">
        <is>
          <t xml:space="preserve">NO APLICA                               </t>
        </is>
      </c>
      <c r="BK47" s="49" t="inlineStr">
        <is>
          <t>02</t>
        </is>
      </c>
      <c r="BL47" s="49" t="inlineStr">
        <is>
          <t xml:space="preserve">Caldas                                  </t>
        </is>
      </c>
      <c r="BM47" s="49" t="inlineStr">
        <is>
          <t>02</t>
        </is>
      </c>
      <c r="BN47" s="49" t="inlineStr">
        <is>
          <t xml:space="preserve">Supia                                   </t>
        </is>
      </c>
      <c r="BO47" s="49" t="inlineStr">
        <is>
          <t>0</t>
        </is>
      </c>
      <c r="BP47" s="49" t="inlineStr">
        <is>
          <t>NO APLICA</t>
        </is>
      </c>
      <c r="BQ47" s="49" t="inlineStr">
        <is>
          <t>0</t>
        </is>
      </c>
      <c r="BR47" s="49" t="inlineStr">
        <is>
          <t>NO APLICA</t>
        </is>
      </c>
      <c r="BS47" s="49" t="inlineStr">
        <is>
          <t>0</t>
        </is>
      </c>
      <c r="BT47" s="49" t="inlineStr">
        <is>
          <t>NO APLICA</t>
        </is>
      </c>
      <c r="BU47" s="49" t="inlineStr">
        <is>
          <t>0</t>
        </is>
      </c>
      <c r="BV47" s="49" t="inlineStr">
        <is>
          <t>NO APLICA</t>
        </is>
      </c>
      <c r="BW47" s="49" t="inlineStr">
        <is>
          <t>No</t>
        </is>
      </c>
      <c r="BX47" s="49" t="inlineStr">
        <is>
          <t xml:space="preserve">No Aplica                     </t>
        </is>
      </c>
    </row>
    <row r="48" ht="22.5" customHeight="1">
      <c r="A48" s="49" t="n">
        <v>1060267953</v>
      </c>
      <c r="B48" s="49" t="inlineStr">
        <is>
          <t xml:space="preserve"> 146</t>
        </is>
      </c>
      <c r="C48" s="49" t="n">
        <v>1060267953</v>
      </c>
      <c r="D48" s="49" t="inlineStr">
        <is>
          <t>CC</t>
        </is>
      </c>
      <c r="E48" s="49" t="inlineStr">
        <is>
          <t>BERMUDEZ SERNA JULIAN DAVID</t>
        </is>
      </c>
      <c r="F48" s="49" t="inlineStr">
        <is>
          <t>M</t>
        </is>
      </c>
      <c r="G48" s="49" t="inlineStr">
        <is>
          <t xml:space="preserve">A  </t>
        </is>
      </c>
      <c r="H48" s="49" t="inlineStr">
        <is>
          <t>+</t>
        </is>
      </c>
      <c r="I48" s="49" t="inlineStr">
        <is>
          <t>SOLTERO</t>
        </is>
      </c>
      <c r="J48" s="49" t="inlineStr">
        <is>
          <t xml:space="preserve">PACORA                        </t>
        </is>
      </c>
      <c r="K48" s="49" t="n">
        <v>0</v>
      </c>
      <c r="L48" s="49" t="inlineStr">
        <is>
          <t>22/08/1990</t>
        </is>
      </c>
      <c r="M48" s="49" t="inlineStr">
        <is>
          <t xml:space="preserve">SUPIA                         </t>
        </is>
      </c>
      <c r="N48" s="49" t="inlineStr">
        <is>
          <t xml:space="preserve">0000                </t>
        </is>
      </c>
      <c r="O48" s="49" t="inlineStr">
        <is>
          <t>3009931561</t>
        </is>
      </c>
      <c r="P48" s="49" t="inlineStr">
        <is>
          <t>VDA CASTILLA</t>
        </is>
      </c>
      <c r="Q48" s="49" t="inlineStr">
        <is>
          <t>juliandavidbermudezserna@gmail.com</t>
        </is>
      </c>
      <c r="R48" s="49" t="inlineStr">
        <is>
          <t>AUXILIAR DE EXPLORACIÓN</t>
        </is>
      </c>
      <c r="S48" s="108" t="n">
        <v>91.66666600000001</v>
      </c>
      <c r="T48" s="108" t="n">
        <v>0</v>
      </c>
      <c r="U48" s="108" t="n">
        <v>220</v>
      </c>
      <c r="V48" s="49" t="inlineStr">
        <is>
          <t>CONSIG. CTA AHORROS</t>
        </is>
      </c>
      <c r="W48" s="49" t="inlineStr">
        <is>
          <t xml:space="preserve">BANCO DAVIVIENDA S.A.         </t>
        </is>
      </c>
      <c r="X48" s="49" t="inlineStr">
        <is>
          <t xml:space="preserve">488448891090             </t>
        </is>
      </c>
      <c r="Y48" s="49" t="inlineStr">
        <is>
          <t xml:space="preserve">NO APLICA                     </t>
        </is>
      </c>
      <c r="Z48" s="49" t="inlineStr">
        <is>
          <t>CM0100-EXP</t>
        </is>
      </c>
      <c r="AA48" s="49" t="inlineStr">
        <is>
          <t>CM0100-EXP</t>
        </is>
      </c>
      <c r="AB48" s="49" t="inlineStr">
        <is>
          <t xml:space="preserve">01 </t>
        </is>
      </c>
      <c r="AC48" s="49" t="inlineStr">
        <is>
          <t xml:space="preserve">                </t>
        </is>
      </c>
      <c r="AD48" s="49" t="inlineStr">
        <is>
          <t>LEY 50</t>
        </is>
      </c>
      <c r="AE48" s="49" t="inlineStr">
        <is>
          <t>No</t>
        </is>
      </c>
      <c r="AF48" s="49" t="inlineStr">
        <is>
          <t>Normal</t>
        </is>
      </c>
      <c r="AG48" s="49" t="n"/>
      <c r="AH48" s="49" t="inlineStr">
        <is>
          <t>Si</t>
        </is>
      </c>
      <c r="AI48" s="49" t="inlineStr">
        <is>
          <t xml:space="preserve">Normal              </t>
        </is>
      </c>
      <c r="AJ48" s="49" t="inlineStr">
        <is>
          <t xml:space="preserve">Quincenal                     </t>
        </is>
      </c>
      <c r="AK48" s="49" t="inlineStr">
        <is>
          <t>NO</t>
        </is>
      </c>
      <c r="AL48" s="49" t="inlineStr">
        <is>
          <t>NO</t>
        </is>
      </c>
      <c r="AM48" s="49" t="inlineStr">
        <is>
          <t>05/11/2025</t>
        </is>
      </c>
      <c r="AN48" s="49" t="n"/>
      <c r="AO48" s="49" t="n"/>
      <c r="AP48" s="49" t="inlineStr">
        <is>
          <t xml:space="preserve">NO APLICA                </t>
        </is>
      </c>
      <c r="AQ48" s="49" t="n">
        <v>207</v>
      </c>
      <c r="AR48" s="49" t="inlineStr">
        <is>
          <t>01</t>
        </is>
      </c>
      <c r="AS48" s="49" t="n">
        <v>1</v>
      </c>
      <c r="AT48" s="49" t="inlineStr">
        <is>
          <t>No</t>
        </is>
      </c>
      <c r="AU48" s="49" t="n">
        <v>0</v>
      </c>
      <c r="AV48" s="108" t="n">
        <v>0</v>
      </c>
      <c r="AW48" s="108" t="n">
        <v>0</v>
      </c>
      <c r="AX48" s="108" t="n">
        <v>0</v>
      </c>
      <c r="AY48" s="49" t="inlineStr">
        <is>
          <t>No</t>
        </is>
      </c>
      <c r="AZ48" s="49" t="n">
        <v>0</v>
      </c>
      <c r="BA48" s="49" t="inlineStr">
        <is>
          <t>NUEVA E.P.S</t>
        </is>
      </c>
      <c r="BB48" s="49" t="inlineStr">
        <is>
          <t>PORVENIR A.F.P.</t>
        </is>
      </c>
      <c r="BC48" s="49" t="inlineStr">
        <is>
          <t>CCF DE CALDAS</t>
        </is>
      </c>
      <c r="BD48" s="49" t="inlineStr">
        <is>
          <t>RIESGOS PROFESIONALES COLMENA S.A.</t>
        </is>
      </c>
      <c r="BE48" s="49" t="inlineStr">
        <is>
          <t>PORVENIR CESANTIAS</t>
        </is>
      </c>
      <c r="BF48" s="49" t="n">
        <v>6.96</v>
      </c>
      <c r="BG48" s="49" t="n">
        <v>220</v>
      </c>
      <c r="BH48" s="49" t="n">
        <v>15</v>
      </c>
      <c r="BI48" s="49" t="inlineStr">
        <is>
          <t xml:space="preserve">0           </t>
        </is>
      </c>
      <c r="BJ48" s="49" t="inlineStr">
        <is>
          <t xml:space="preserve">NO APLICA                               </t>
        </is>
      </c>
      <c r="BK48" s="49" t="inlineStr">
        <is>
          <t>02</t>
        </is>
      </c>
      <c r="BL48" s="49" t="inlineStr">
        <is>
          <t xml:space="preserve">Caldas                                  </t>
        </is>
      </c>
      <c r="BM48" s="49" t="inlineStr">
        <is>
          <t>02</t>
        </is>
      </c>
      <c r="BN48" s="49" t="inlineStr">
        <is>
          <t xml:space="preserve">Supia                                   </t>
        </is>
      </c>
      <c r="BO48" s="49" t="inlineStr">
        <is>
          <t>0</t>
        </is>
      </c>
      <c r="BP48" s="49" t="inlineStr">
        <is>
          <t>NO APLICA</t>
        </is>
      </c>
      <c r="BQ48" s="49" t="inlineStr">
        <is>
          <t>0</t>
        </is>
      </c>
      <c r="BR48" s="49" t="inlineStr">
        <is>
          <t>NO APLICA</t>
        </is>
      </c>
      <c r="BS48" s="49" t="inlineStr">
        <is>
          <t>0</t>
        </is>
      </c>
      <c r="BT48" s="49" t="inlineStr">
        <is>
          <t>NO APLICA</t>
        </is>
      </c>
      <c r="BU48" s="49" t="inlineStr">
        <is>
          <t>0</t>
        </is>
      </c>
      <c r="BV48" s="49" t="inlineStr">
        <is>
          <t>NO APLICA</t>
        </is>
      </c>
      <c r="BW48" s="49" t="inlineStr">
        <is>
          <t>No</t>
        </is>
      </c>
      <c r="BX48" s="49" t="inlineStr">
        <is>
          <t xml:space="preserve">No Aplica                     </t>
        </is>
      </c>
    </row>
    <row r="49" ht="15" customHeight="1">
      <c r="A49" s="49" t="n">
        <v>1060587260</v>
      </c>
      <c r="B49" s="49" t="n">
        <v>169</v>
      </c>
      <c r="C49" s="49" t="n">
        <v>1060587260</v>
      </c>
      <c r="D49" s="49" t="inlineStr">
        <is>
          <t>CC</t>
        </is>
      </c>
      <c r="E49" s="49" t="inlineStr">
        <is>
          <t>GUERRERO RODRIGUEZ DARLY VANNESA</t>
        </is>
      </c>
      <c r="F49" s="49" t="inlineStr">
        <is>
          <t>F</t>
        </is>
      </c>
      <c r="G49" s="49" t="inlineStr">
        <is>
          <t xml:space="preserve">A  </t>
        </is>
      </c>
      <c r="H49" s="49" t="inlineStr">
        <is>
          <t>+</t>
        </is>
      </c>
      <c r="I49" s="49" t="inlineStr">
        <is>
          <t>UNION LIBRE</t>
        </is>
      </c>
      <c r="J49" s="49" t="inlineStr">
        <is>
          <t xml:space="preserve">EL ENCANTO                    </t>
        </is>
      </c>
      <c r="K49" s="49" t="n">
        <v>0</v>
      </c>
      <c r="L49" s="49" t="inlineStr">
        <is>
          <t>02/02/2005</t>
        </is>
      </c>
      <c r="M49" s="49" t="inlineStr">
        <is>
          <t xml:space="preserve">SUPIA                         </t>
        </is>
      </c>
      <c r="N49" s="49" t="inlineStr">
        <is>
          <t xml:space="preserve">0000                </t>
        </is>
      </c>
      <c r="O49" s="49" t="inlineStr">
        <is>
          <t>3023192183</t>
        </is>
      </c>
      <c r="P49" s="49" t="inlineStr">
        <is>
          <t>Calle 25  10 29</t>
        </is>
      </c>
      <c r="Q49" s="49" t="inlineStr">
        <is>
          <t>vr394595@gmail.com</t>
        </is>
      </c>
      <c r="R49" s="49" t="inlineStr">
        <is>
          <t>AUXILIAR DE EXPLORACIÓN</t>
        </is>
      </c>
      <c r="S49" s="108" t="n">
        <v>91.66666600000001</v>
      </c>
      <c r="T49" s="108" t="n">
        <v>0</v>
      </c>
      <c r="U49" s="108" t="n">
        <v>220</v>
      </c>
      <c r="V49" s="49" t="inlineStr">
        <is>
          <t>CONSIG. CTA AHORROS</t>
        </is>
      </c>
      <c r="W49" s="49" t="inlineStr">
        <is>
          <t xml:space="preserve">NO APLICA                     </t>
        </is>
      </c>
      <c r="X49" s="49" t="inlineStr">
        <is>
          <t xml:space="preserve">333333                   </t>
        </is>
      </c>
      <c r="Y49" s="49" t="inlineStr">
        <is>
          <t xml:space="preserve">NO APLICA                     </t>
        </is>
      </c>
      <c r="Z49" s="49" t="inlineStr">
        <is>
          <t>CM0100-EXP</t>
        </is>
      </c>
      <c r="AA49" s="49" t="inlineStr">
        <is>
          <t>CM0100-EXP</t>
        </is>
      </c>
      <c r="AB49" s="49" t="inlineStr">
        <is>
          <t xml:space="preserve">01 </t>
        </is>
      </c>
      <c r="AC49" s="49" t="inlineStr">
        <is>
          <t xml:space="preserve">                </t>
        </is>
      </c>
      <c r="AD49" s="49" t="inlineStr">
        <is>
          <t>LEY 50</t>
        </is>
      </c>
      <c r="AE49" s="49" t="inlineStr">
        <is>
          <t>No</t>
        </is>
      </c>
      <c r="AF49" s="49" t="inlineStr">
        <is>
          <t>Normal</t>
        </is>
      </c>
      <c r="AG49" s="49" t="n"/>
      <c r="AH49" s="49" t="inlineStr">
        <is>
          <t>Si</t>
        </is>
      </c>
      <c r="AI49" s="49" t="inlineStr">
        <is>
          <t xml:space="preserve">Normal              </t>
        </is>
      </c>
      <c r="AJ49" s="49" t="inlineStr">
        <is>
          <t xml:space="preserve">Quincenal                     </t>
        </is>
      </c>
      <c r="AK49" s="49" t="inlineStr">
        <is>
          <t>NO</t>
        </is>
      </c>
      <c r="AL49" s="49" t="inlineStr">
        <is>
          <t>NO</t>
        </is>
      </c>
      <c r="AM49" s="49" t="inlineStr">
        <is>
          <t>10/03/2026</t>
        </is>
      </c>
      <c r="AN49" s="49" t="n"/>
      <c r="AO49" s="49" t="n"/>
      <c r="AP49" s="49" t="inlineStr">
        <is>
          <t xml:space="preserve">NO APLICA                </t>
        </is>
      </c>
      <c r="AQ49" s="49" t="n">
        <v>235</v>
      </c>
      <c r="AR49" s="49" t="inlineStr">
        <is>
          <t>01</t>
        </is>
      </c>
      <c r="AS49" s="49" t="n">
        <v>1</v>
      </c>
      <c r="AT49" s="49" t="inlineStr">
        <is>
          <t>No</t>
        </is>
      </c>
      <c r="AU49" s="49" t="n">
        <v>0</v>
      </c>
      <c r="AV49" s="108" t="n">
        <v>0</v>
      </c>
      <c r="AW49" s="108" t="n">
        <v>0</v>
      </c>
      <c r="AX49" s="108" t="n">
        <v>0</v>
      </c>
      <c r="AY49" s="49" t="inlineStr">
        <is>
          <t>No</t>
        </is>
      </c>
      <c r="AZ49" s="49" t="n">
        <v>0</v>
      </c>
      <c r="BA49" s="49" t="inlineStr">
        <is>
          <t>NUEVA E.P.S</t>
        </is>
      </c>
      <c r="BB49" s="49" t="inlineStr">
        <is>
          <t>PORVENIR A.F.P.</t>
        </is>
      </c>
      <c r="BC49" s="49" t="inlineStr">
        <is>
          <t>CCF DE CALDAS</t>
        </is>
      </c>
      <c r="BD49" s="49" t="inlineStr">
        <is>
          <t>RIESGOS PROFESIONALES COLMENA S.A.</t>
        </is>
      </c>
      <c r="BE49" s="49" t="inlineStr">
        <is>
          <t>PROTECCION CESANTIAS</t>
        </is>
      </c>
      <c r="BF49" s="49" t="n">
        <v>6.96</v>
      </c>
      <c r="BG49" s="49" t="n">
        <v>220</v>
      </c>
      <c r="BH49" s="49" t="n">
        <v>15</v>
      </c>
      <c r="BI49" s="49" t="inlineStr">
        <is>
          <t xml:space="preserve">0           </t>
        </is>
      </c>
      <c r="BJ49" s="49" t="inlineStr">
        <is>
          <t xml:space="preserve">NO APLICA                               </t>
        </is>
      </c>
      <c r="BK49" s="49" t="inlineStr">
        <is>
          <t>02</t>
        </is>
      </c>
      <c r="BL49" s="49" t="inlineStr">
        <is>
          <t xml:space="preserve">Caldas                                  </t>
        </is>
      </c>
      <c r="BM49" s="49" t="inlineStr">
        <is>
          <t>02</t>
        </is>
      </c>
      <c r="BN49" s="49" t="inlineStr">
        <is>
          <t xml:space="preserve">Supia                                   </t>
        </is>
      </c>
      <c r="BO49" s="49" t="inlineStr">
        <is>
          <t>0</t>
        </is>
      </c>
      <c r="BP49" s="49" t="inlineStr">
        <is>
          <t>NO APLICA</t>
        </is>
      </c>
      <c r="BQ49" s="49" t="inlineStr">
        <is>
          <t>0</t>
        </is>
      </c>
      <c r="BR49" s="49" t="inlineStr">
        <is>
          <t>NO APLICA</t>
        </is>
      </c>
      <c r="BS49" s="49" t="inlineStr">
        <is>
          <t>0</t>
        </is>
      </c>
      <c r="BT49" s="49" t="inlineStr">
        <is>
          <t>NO APLICA</t>
        </is>
      </c>
      <c r="BU49" s="49" t="inlineStr">
        <is>
          <t>0</t>
        </is>
      </c>
      <c r="BV49" s="49" t="inlineStr">
        <is>
          <t>NO APLICA</t>
        </is>
      </c>
      <c r="BW49" s="49" t="inlineStr">
        <is>
          <t>No</t>
        </is>
      </c>
      <c r="BX49" s="49" t="inlineStr">
        <is>
          <t xml:space="preserve">No Aplica                     </t>
        </is>
      </c>
    </row>
    <row r="50" ht="22.5" customHeight="1">
      <c r="A50" s="49" t="n">
        <v>1060588957</v>
      </c>
      <c r="B50" s="49" t="inlineStr">
        <is>
          <t>076</t>
        </is>
      </c>
      <c r="C50" s="49" t="n">
        <v>1060588957</v>
      </c>
      <c r="D50" s="49" t="inlineStr">
        <is>
          <t>CC</t>
        </is>
      </c>
      <c r="E50" s="49" t="inlineStr">
        <is>
          <t>ARROYAVE MONTOYA ELIZABETH</t>
        </is>
      </c>
      <c r="F50" s="49" t="inlineStr">
        <is>
          <t>F</t>
        </is>
      </c>
      <c r="G50" s="49" t="inlineStr">
        <is>
          <t xml:space="preserve">A  </t>
        </is>
      </c>
      <c r="H50" s="49" t="inlineStr">
        <is>
          <t>+</t>
        </is>
      </c>
      <c r="I50" s="49" t="inlineStr">
        <is>
          <t>SOLTERO</t>
        </is>
      </c>
      <c r="J50" s="49" t="inlineStr">
        <is>
          <t xml:space="preserve">SUPIA                         </t>
        </is>
      </c>
      <c r="K50" s="49" t="n">
        <v>0</v>
      </c>
      <c r="L50" s="49" t="inlineStr">
        <is>
          <t>02/09/1988</t>
        </is>
      </c>
      <c r="M50" s="49" t="inlineStr">
        <is>
          <t xml:space="preserve">SUPIA                         </t>
        </is>
      </c>
      <c r="N50" s="49" t="inlineStr">
        <is>
          <t xml:space="preserve">0                   </t>
        </is>
      </c>
      <c r="O50" s="49" t="inlineStr">
        <is>
          <t>3044596874</t>
        </is>
      </c>
      <c r="P50" s="49" t="inlineStr">
        <is>
          <t>VDA LA QUINTA</t>
        </is>
      </c>
      <c r="Q50" s="49" t="inlineStr">
        <is>
          <t>elizabetharroyavemontoya@gmail.com</t>
        </is>
      </c>
      <c r="R50" s="49" t="inlineStr">
        <is>
          <t>ANALISTA LOGISTICA</t>
        </is>
      </c>
      <c r="S50" s="108" t="n">
        <v>91.66666600000001</v>
      </c>
      <c r="T50" s="108" t="n">
        <v>0</v>
      </c>
      <c r="U50" s="108" t="n">
        <v>220</v>
      </c>
      <c r="V50" s="49" t="inlineStr">
        <is>
          <t>CONSIG. CTA AHORROS</t>
        </is>
      </c>
      <c r="W50" s="49" t="inlineStr">
        <is>
          <t xml:space="preserve">BANCO DAVIVIENDA S.A.         </t>
        </is>
      </c>
      <c r="X50" s="49" t="inlineStr">
        <is>
          <t xml:space="preserve">0550488404025667         </t>
        </is>
      </c>
      <c r="Y50" s="49" t="inlineStr">
        <is>
          <t xml:space="preserve">NO APLICA                     </t>
        </is>
      </c>
      <c r="Z50" s="49" t="inlineStr">
        <is>
          <t>CM0500-LOG</t>
        </is>
      </c>
      <c r="AA50" s="49" t="inlineStr">
        <is>
          <t>CM0500-LOG</t>
        </is>
      </c>
      <c r="AB50" s="49" t="inlineStr">
        <is>
          <t xml:space="preserve">01 </t>
        </is>
      </c>
      <c r="AC50" s="49" t="inlineStr">
        <is>
          <t xml:space="preserve">                </t>
        </is>
      </c>
      <c r="AD50" s="49" t="inlineStr">
        <is>
          <t>LEY 50</t>
        </is>
      </c>
      <c r="AE50" s="49" t="inlineStr">
        <is>
          <t>No</t>
        </is>
      </c>
      <c r="AF50" s="49" t="inlineStr">
        <is>
          <t>Normal</t>
        </is>
      </c>
      <c r="AG50" s="49" t="n"/>
      <c r="AH50" s="49" t="inlineStr">
        <is>
          <t>Si</t>
        </is>
      </c>
      <c r="AI50" s="49" t="inlineStr">
        <is>
          <t xml:space="preserve">Normal              </t>
        </is>
      </c>
      <c r="AJ50" s="49" t="inlineStr">
        <is>
          <t xml:space="preserve">Quincenal                     </t>
        </is>
      </c>
      <c r="AK50" s="49" t="inlineStr">
        <is>
          <t>NO</t>
        </is>
      </c>
      <c r="AL50" s="49" t="inlineStr">
        <is>
          <t>NO</t>
        </is>
      </c>
      <c r="AM50" s="49" t="inlineStr">
        <is>
          <t>06/05/2024</t>
        </is>
      </c>
      <c r="AN50" s="49" t="n"/>
      <c r="AO50" s="49" t="n"/>
      <c r="AP50" s="49" t="inlineStr">
        <is>
          <t xml:space="preserve">NO APLICA                </t>
        </is>
      </c>
      <c r="AQ50" s="49" t="n">
        <v>126</v>
      </c>
      <c r="AR50" s="49" t="inlineStr">
        <is>
          <t>01</t>
        </is>
      </c>
      <c r="AS50" s="49" t="n">
        <v>1</v>
      </c>
      <c r="AT50" s="49" t="inlineStr">
        <is>
          <t>No</t>
        </is>
      </c>
      <c r="AU50" s="49" t="n">
        <v>0</v>
      </c>
      <c r="AV50" s="108" t="n">
        <v>0</v>
      </c>
      <c r="AW50" s="108" t="n">
        <v>0</v>
      </c>
      <c r="AX50" s="108" t="n">
        <v>0</v>
      </c>
      <c r="AY50" s="49" t="inlineStr">
        <is>
          <t>No</t>
        </is>
      </c>
      <c r="AZ50" s="49" t="n">
        <v>69414</v>
      </c>
      <c r="BA50" s="49" t="inlineStr">
        <is>
          <t>NUEVA E.P.S</t>
        </is>
      </c>
      <c r="BB50" s="49" t="inlineStr">
        <is>
          <t>PORVENIR A.F.P.</t>
        </is>
      </c>
      <c r="BC50" s="49" t="inlineStr">
        <is>
          <t>CCF DE CALDAS</t>
        </is>
      </c>
      <c r="BD50" s="49" t="inlineStr">
        <is>
          <t>RIESGOS PROFESIONALES COLMENA S.A.</t>
        </is>
      </c>
      <c r="BE50" s="49" t="inlineStr">
        <is>
          <t>PORVENIR CESANTIAS</t>
        </is>
      </c>
      <c r="BF50" s="49" t="n">
        <v>0.522</v>
      </c>
      <c r="BG50" s="49" t="n">
        <v>220</v>
      </c>
      <c r="BH50" s="49" t="n">
        <v>15</v>
      </c>
      <c r="BI50" s="49" t="inlineStr">
        <is>
          <t xml:space="preserve">0           </t>
        </is>
      </c>
      <c r="BJ50" s="49" t="inlineStr">
        <is>
          <t xml:space="preserve">NO APLICA                               </t>
        </is>
      </c>
      <c r="BK50" s="49" t="inlineStr">
        <is>
          <t>02</t>
        </is>
      </c>
      <c r="BL50" s="49" t="inlineStr">
        <is>
          <t xml:space="preserve">Caldas                                  </t>
        </is>
      </c>
      <c r="BM50" s="49" t="inlineStr">
        <is>
          <t>02</t>
        </is>
      </c>
      <c r="BN50" s="49" t="inlineStr">
        <is>
          <t xml:space="preserve">Supia                                   </t>
        </is>
      </c>
      <c r="BO50" s="49" t="inlineStr">
        <is>
          <t>0</t>
        </is>
      </c>
      <c r="BP50" s="49" t="inlineStr">
        <is>
          <t>NO APLICA</t>
        </is>
      </c>
      <c r="BQ50" s="49" t="inlineStr">
        <is>
          <t>0</t>
        </is>
      </c>
      <c r="BR50" s="49" t="inlineStr">
        <is>
          <t>NO APLICA</t>
        </is>
      </c>
      <c r="BS50" s="49" t="inlineStr">
        <is>
          <t>0</t>
        </is>
      </c>
      <c r="BT50" s="49" t="inlineStr">
        <is>
          <t>NO APLICA</t>
        </is>
      </c>
      <c r="BU50" s="49" t="inlineStr">
        <is>
          <t>0</t>
        </is>
      </c>
      <c r="BV50" s="49" t="inlineStr">
        <is>
          <t>NO APLICA</t>
        </is>
      </c>
      <c r="BW50" s="49" t="inlineStr">
        <is>
          <t>No</t>
        </is>
      </c>
      <c r="BX50" s="49" t="inlineStr">
        <is>
          <t xml:space="preserve">No Aplica                     </t>
        </is>
      </c>
    </row>
    <row r="51" ht="22.5" customHeight="1">
      <c r="A51" s="49" t="n">
        <v>1060589612</v>
      </c>
      <c r="B51" s="49" t="inlineStr">
        <is>
          <t>052</t>
        </is>
      </c>
      <c r="C51" s="49" t="n">
        <v>1060589612</v>
      </c>
      <c r="D51" s="49" t="inlineStr">
        <is>
          <t>CC</t>
        </is>
      </c>
      <c r="E51" s="49" t="inlineStr">
        <is>
          <t>VINASCO LOAIZA JOSE TIBERIO</t>
        </is>
      </c>
      <c r="F51" s="49" t="inlineStr">
        <is>
          <t>M</t>
        </is>
      </c>
      <c r="G51" s="49" t="inlineStr">
        <is>
          <t xml:space="preserve">O  </t>
        </is>
      </c>
      <c r="H51" s="49" t="inlineStr">
        <is>
          <t>+</t>
        </is>
      </c>
      <c r="I51" s="49" t="inlineStr">
        <is>
          <t>SOLTERO</t>
        </is>
      </c>
      <c r="J51" s="49" t="inlineStr">
        <is>
          <t xml:space="preserve">SUPIA                         </t>
        </is>
      </c>
      <c r="K51" s="49" t="n">
        <v>0</v>
      </c>
      <c r="L51" s="49" t="inlineStr">
        <is>
          <t>16/07/1989</t>
        </is>
      </c>
      <c r="M51" s="49" t="inlineStr">
        <is>
          <t xml:space="preserve">SUPIA                         </t>
        </is>
      </c>
      <c r="N51" s="49" t="inlineStr">
        <is>
          <t xml:space="preserve">NA                  </t>
        </is>
      </c>
      <c r="O51" s="49" t="inlineStr">
        <is>
          <t>3023524086</t>
        </is>
      </c>
      <c r="P51" s="49" t="inlineStr">
        <is>
          <t>VEREDA EL PINTADO</t>
        </is>
      </c>
      <c r="Q51" s="49" t="inlineStr">
        <is>
          <t>vinascoloaizajosetiberio@gmail.com</t>
        </is>
      </c>
      <c r="R51" s="49" t="inlineStr">
        <is>
          <t>AUXILIAR DE EXPLORACIÓN</t>
        </is>
      </c>
      <c r="S51" s="108" t="n">
        <v>91.66666600000001</v>
      </c>
      <c r="T51" s="108" t="n">
        <v>0</v>
      </c>
      <c r="U51" s="108" t="n">
        <v>220</v>
      </c>
      <c r="V51" s="49" t="inlineStr">
        <is>
          <t>CONSIG. CTA AHORROS</t>
        </is>
      </c>
      <c r="W51" s="49" t="inlineStr">
        <is>
          <t xml:space="preserve">BANCO DAVIVIENDA S.A.         </t>
        </is>
      </c>
      <c r="X51" s="49" t="inlineStr">
        <is>
          <t xml:space="preserve">084700080892             </t>
        </is>
      </c>
      <c r="Y51" s="49" t="inlineStr">
        <is>
          <t xml:space="preserve">NO APLICA                     </t>
        </is>
      </c>
      <c r="Z51" s="49" t="inlineStr">
        <is>
          <t>CM0100-EXP</t>
        </is>
      </c>
      <c r="AA51" s="49" t="inlineStr">
        <is>
          <t>CM0100-EXP</t>
        </is>
      </c>
      <c r="AB51" s="49" t="inlineStr">
        <is>
          <t xml:space="preserve">01 </t>
        </is>
      </c>
      <c r="AC51" s="49" t="inlineStr">
        <is>
          <t xml:space="preserve">                </t>
        </is>
      </c>
      <c r="AD51" s="49" t="inlineStr">
        <is>
          <t>LEY 50</t>
        </is>
      </c>
      <c r="AE51" s="49" t="inlineStr">
        <is>
          <t>Si</t>
        </is>
      </c>
      <c r="AF51" s="49" t="inlineStr">
        <is>
          <t>Normal</t>
        </is>
      </c>
      <c r="AG51" s="49" t="n"/>
      <c r="AH51" s="49" t="inlineStr">
        <is>
          <t>Si</t>
        </is>
      </c>
      <c r="AI51" s="49" t="inlineStr">
        <is>
          <t xml:space="preserve">Normal              </t>
        </is>
      </c>
      <c r="AJ51" s="49" t="inlineStr">
        <is>
          <t xml:space="preserve">Quincenal                     </t>
        </is>
      </c>
      <c r="AK51" s="49" t="inlineStr">
        <is>
          <t>NO</t>
        </is>
      </c>
      <c r="AL51" s="49" t="inlineStr">
        <is>
          <t>NO</t>
        </is>
      </c>
      <c r="AM51" s="49" t="inlineStr">
        <is>
          <t>16/05/2023</t>
        </is>
      </c>
      <c r="AN51" s="49" t="n"/>
      <c r="AO51" s="49" t="n"/>
      <c r="AP51" s="49" t="inlineStr">
        <is>
          <t xml:space="preserve">NO APLICA                </t>
        </is>
      </c>
      <c r="AQ51" s="49" t="n">
        <v>95</v>
      </c>
      <c r="AR51" s="49" t="inlineStr">
        <is>
          <t>03</t>
        </is>
      </c>
      <c r="AS51" s="49" t="n">
        <v>1</v>
      </c>
      <c r="AT51" s="49" t="inlineStr">
        <is>
          <t>Si</t>
        </is>
      </c>
      <c r="AU51" s="49" t="n">
        <v>0</v>
      </c>
      <c r="AV51" s="108" t="n">
        <v>0</v>
      </c>
      <c r="AW51" s="108" t="n">
        <v>0</v>
      </c>
      <c r="AX51" s="108" t="n">
        <v>0</v>
      </c>
      <c r="AY51" s="49" t="inlineStr">
        <is>
          <t>No</t>
        </is>
      </c>
      <c r="AZ51" s="49" t="n">
        <v>62511</v>
      </c>
      <c r="BA51" s="49" t="inlineStr">
        <is>
          <t>NUEVA E.P.S</t>
        </is>
      </c>
      <c r="BB51" s="49" t="inlineStr">
        <is>
          <t>COLPENSIONES - I.S.S. PENSION</t>
        </is>
      </c>
      <c r="BC51" s="49" t="inlineStr">
        <is>
          <t>CCF DE CALDAS</t>
        </is>
      </c>
      <c r="BD51" s="49" t="inlineStr">
        <is>
          <t>RIESGOS PROFESIONALES COLMENA S.A.</t>
        </is>
      </c>
      <c r="BE51" s="49" t="inlineStr">
        <is>
          <t>PROTECCION CESANTIAS</t>
        </is>
      </c>
      <c r="BF51" s="49" t="n">
        <v>6.96</v>
      </c>
      <c r="BG51" s="49" t="n">
        <v>220</v>
      </c>
      <c r="BH51" s="49" t="n">
        <v>15</v>
      </c>
      <c r="BI51" s="49" t="inlineStr">
        <is>
          <t xml:space="preserve">0           </t>
        </is>
      </c>
      <c r="BJ51" s="49" t="inlineStr">
        <is>
          <t xml:space="preserve">NO APLICA                               </t>
        </is>
      </c>
      <c r="BK51" s="49" t="inlineStr">
        <is>
          <t>02</t>
        </is>
      </c>
      <c r="BL51" s="49" t="inlineStr">
        <is>
          <t xml:space="preserve">Caldas                                  </t>
        </is>
      </c>
      <c r="BM51" s="49" t="inlineStr">
        <is>
          <t>02</t>
        </is>
      </c>
      <c r="BN51" s="49" t="inlineStr">
        <is>
          <t xml:space="preserve">Supia                                   </t>
        </is>
      </c>
      <c r="BO51" s="49" t="inlineStr">
        <is>
          <t>0</t>
        </is>
      </c>
      <c r="BP51" s="49" t="inlineStr">
        <is>
          <t>NO APLICA</t>
        </is>
      </c>
      <c r="BQ51" s="49" t="inlineStr">
        <is>
          <t>0</t>
        </is>
      </c>
      <c r="BR51" s="49" t="inlineStr">
        <is>
          <t>NO APLICA</t>
        </is>
      </c>
      <c r="BS51" s="49" t="inlineStr">
        <is>
          <t>0</t>
        </is>
      </c>
      <c r="BT51" s="49" t="inlineStr">
        <is>
          <t>NO APLICA</t>
        </is>
      </c>
      <c r="BU51" s="49" t="inlineStr">
        <is>
          <t>0</t>
        </is>
      </c>
      <c r="BV51" s="49" t="inlineStr">
        <is>
          <t>NO APLICA</t>
        </is>
      </c>
      <c r="BW51" s="49" t="inlineStr">
        <is>
          <t>No</t>
        </is>
      </c>
      <c r="BX51" s="49" t="inlineStr">
        <is>
          <t xml:space="preserve">No Aplica                     </t>
        </is>
      </c>
    </row>
    <row r="52" ht="22.5" customHeight="1">
      <c r="A52" s="49" t="n">
        <v>1060591795</v>
      </c>
      <c r="B52" s="49" t="inlineStr">
        <is>
          <t>035</t>
        </is>
      </c>
      <c r="C52" s="49" t="n">
        <v>1060591795</v>
      </c>
      <c r="D52" s="49" t="inlineStr">
        <is>
          <t>CC</t>
        </is>
      </c>
      <c r="E52" s="49" t="inlineStr">
        <is>
          <t>GARCIA AGUDELO MARIBEL</t>
        </is>
      </c>
      <c r="F52" s="49" t="inlineStr">
        <is>
          <t>F</t>
        </is>
      </c>
      <c r="G52" s="49" t="inlineStr">
        <is>
          <t xml:space="preserve">O  </t>
        </is>
      </c>
      <c r="H52" s="49" t="inlineStr">
        <is>
          <t>+</t>
        </is>
      </c>
      <c r="I52" s="49" t="inlineStr">
        <is>
          <t>UNION LIBRE</t>
        </is>
      </c>
      <c r="J52" s="49" t="inlineStr">
        <is>
          <t xml:space="preserve">SUPIA                         </t>
        </is>
      </c>
      <c r="K52" s="49" t="n">
        <v>0</v>
      </c>
      <c r="L52" s="49" t="inlineStr">
        <is>
          <t>10/12/1991</t>
        </is>
      </c>
      <c r="M52" s="49" t="inlineStr">
        <is>
          <t xml:space="preserve">MARMATO                       </t>
        </is>
      </c>
      <c r="N52" s="49" t="inlineStr">
        <is>
          <t xml:space="preserve">3222853580          </t>
        </is>
      </c>
      <c r="O52" s="49" t="inlineStr">
        <is>
          <t>3222853580</t>
        </is>
      </c>
      <c r="P52" s="49" t="inlineStr">
        <is>
          <t>VEREDA EL VERGEL</t>
        </is>
      </c>
      <c r="Q52" s="49" t="inlineStr">
        <is>
          <t>marygarciaa1991@gmail.com</t>
        </is>
      </c>
      <c r="R52" s="49" t="inlineStr">
        <is>
          <t>ANALISTA DE GESTION SOCIAL</t>
        </is>
      </c>
      <c r="S52" s="108" t="n">
        <v>91.66666600000001</v>
      </c>
      <c r="T52" s="108" t="n">
        <v>0</v>
      </c>
      <c r="U52" s="108" t="n">
        <v>220</v>
      </c>
      <c r="V52" s="49" t="inlineStr">
        <is>
          <t>CONSIG. CTA AHORROS</t>
        </is>
      </c>
      <c r="W52" s="49" t="inlineStr">
        <is>
          <t xml:space="preserve">BANCO DAVIVIENDA S.A.         </t>
        </is>
      </c>
      <c r="X52" s="49" t="inlineStr">
        <is>
          <t xml:space="preserve">488433220156             </t>
        </is>
      </c>
      <c r="Y52" s="49" t="inlineStr">
        <is>
          <t xml:space="preserve">NO APLICA                     </t>
        </is>
      </c>
      <c r="Z52" s="49" t="inlineStr">
        <is>
          <t>CM0201-ESG</t>
        </is>
      </c>
      <c r="AA52" s="49" t="inlineStr">
        <is>
          <t>CM0201-ESGSOC</t>
        </is>
      </c>
      <c r="AB52" s="49" t="inlineStr">
        <is>
          <t xml:space="preserve">01 </t>
        </is>
      </c>
      <c r="AC52" s="49" t="inlineStr">
        <is>
          <t xml:space="preserve">0               </t>
        </is>
      </c>
      <c r="AD52" s="49" t="inlineStr">
        <is>
          <t>LEY 50</t>
        </is>
      </c>
      <c r="AE52" s="49" t="inlineStr">
        <is>
          <t>No</t>
        </is>
      </c>
      <c r="AF52" s="49" t="inlineStr">
        <is>
          <t>Normal</t>
        </is>
      </c>
      <c r="AG52" s="49" t="n"/>
      <c r="AH52" s="49" t="inlineStr">
        <is>
          <t>Si</t>
        </is>
      </c>
      <c r="AI52" s="49" t="inlineStr">
        <is>
          <t xml:space="preserve">Normal              </t>
        </is>
      </c>
      <c r="AJ52" s="49" t="inlineStr">
        <is>
          <t xml:space="preserve">Quincenal                     </t>
        </is>
      </c>
      <c r="AK52" s="49" t="inlineStr">
        <is>
          <t>NO</t>
        </is>
      </c>
      <c r="AL52" s="49" t="inlineStr">
        <is>
          <t>NO</t>
        </is>
      </c>
      <c r="AM52" s="49" t="inlineStr">
        <is>
          <t>22/08/2022</t>
        </is>
      </c>
      <c r="AN52" s="49" t="n"/>
      <c r="AO52" s="49" t="n"/>
      <c r="AP52" s="49" t="inlineStr">
        <is>
          <t xml:space="preserve">NO APLICA                </t>
        </is>
      </c>
      <c r="AQ52" s="49" t="n">
        <v>21</v>
      </c>
      <c r="AR52" s="49" t="inlineStr">
        <is>
          <t>01</t>
        </is>
      </c>
      <c r="AS52" s="49" t="n">
        <v>1</v>
      </c>
      <c r="AT52" s="49" t="inlineStr">
        <is>
          <t>No</t>
        </is>
      </c>
      <c r="AU52" s="49" t="n">
        <v>0</v>
      </c>
      <c r="AV52" s="108" t="n">
        <v>0</v>
      </c>
      <c r="AW52" s="108" t="n">
        <v>0</v>
      </c>
      <c r="AX52" s="108" t="n">
        <v>0</v>
      </c>
      <c r="AY52" s="49" t="inlineStr">
        <is>
          <t>No</t>
        </is>
      </c>
      <c r="AZ52" s="49" t="n">
        <v>68796</v>
      </c>
      <c r="BA52" s="49" t="inlineStr">
        <is>
          <t>SALUD TOTAL E.P.S.</t>
        </is>
      </c>
      <c r="BB52" s="49" t="inlineStr">
        <is>
          <t>PORVENIR A.F.P.</t>
        </is>
      </c>
      <c r="BC52" s="49" t="inlineStr">
        <is>
          <t>CCF DE CALDAS</t>
        </is>
      </c>
      <c r="BD52" s="49" t="inlineStr">
        <is>
          <t>RIESGOS PROFESIONALES COLMENA S.A.</t>
        </is>
      </c>
      <c r="BE52" s="49" t="inlineStr">
        <is>
          <t>PORVENIR CESANTIAS</t>
        </is>
      </c>
      <c r="BF52" s="49" t="n">
        <v>6.96</v>
      </c>
      <c r="BG52" s="49" t="n">
        <v>220</v>
      </c>
      <c r="BH52" s="49" t="n">
        <v>15</v>
      </c>
      <c r="BI52" s="49" t="inlineStr">
        <is>
          <t xml:space="preserve">0           </t>
        </is>
      </c>
      <c r="BJ52" s="49" t="inlineStr">
        <is>
          <t xml:space="preserve">NO APLICA                               </t>
        </is>
      </c>
      <c r="BK52" s="49" t="inlineStr">
        <is>
          <t>02</t>
        </is>
      </c>
      <c r="BL52" s="49" t="inlineStr">
        <is>
          <t xml:space="preserve">Caldas                                  </t>
        </is>
      </c>
      <c r="BM52" s="49" t="inlineStr">
        <is>
          <t>03</t>
        </is>
      </c>
      <c r="BN52" s="49" t="inlineStr">
        <is>
          <t xml:space="preserve">Marmato                                 </t>
        </is>
      </c>
      <c r="BO52" s="49" t="inlineStr">
        <is>
          <t>0</t>
        </is>
      </c>
      <c r="BP52" s="49" t="inlineStr">
        <is>
          <t>NO APLICA</t>
        </is>
      </c>
      <c r="BQ52" s="49" t="inlineStr">
        <is>
          <t>0</t>
        </is>
      </c>
      <c r="BR52" s="49" t="inlineStr">
        <is>
          <t>NO APLICA</t>
        </is>
      </c>
      <c r="BS52" s="49" t="inlineStr">
        <is>
          <t>0</t>
        </is>
      </c>
      <c r="BT52" s="49" t="inlineStr">
        <is>
          <t>NO APLICA</t>
        </is>
      </c>
      <c r="BU52" s="49" t="inlineStr">
        <is>
          <t>0</t>
        </is>
      </c>
      <c r="BV52" s="49" t="inlineStr">
        <is>
          <t>NO APLICA</t>
        </is>
      </c>
      <c r="BW52" s="49" t="inlineStr">
        <is>
          <t>No</t>
        </is>
      </c>
      <c r="BX52" s="49" t="inlineStr">
        <is>
          <t xml:space="preserve">No Aplica                     </t>
        </is>
      </c>
    </row>
    <row r="53" ht="22.5" customHeight="1">
      <c r="A53" s="49" t="n">
        <v>1060592188</v>
      </c>
      <c r="B53" s="49" t="inlineStr">
        <is>
          <t xml:space="preserve"> 132</t>
        </is>
      </c>
      <c r="C53" s="49" t="n">
        <v>1060592188</v>
      </c>
      <c r="D53" s="49" t="inlineStr">
        <is>
          <t>CC</t>
        </is>
      </c>
      <c r="E53" s="49" t="inlineStr">
        <is>
          <t>GAÑAN TAPASCO VICTOR JULIO</t>
        </is>
      </c>
      <c r="F53" s="49" t="inlineStr">
        <is>
          <t>M</t>
        </is>
      </c>
      <c r="G53" s="49" t="inlineStr">
        <is>
          <t xml:space="preserve">A  </t>
        </is>
      </c>
      <c r="H53" s="49" t="inlineStr">
        <is>
          <t>+</t>
        </is>
      </c>
      <c r="I53" s="49" t="inlineStr">
        <is>
          <t>CASADO</t>
        </is>
      </c>
      <c r="J53" s="49" t="inlineStr">
        <is>
          <t xml:space="preserve">SUPIA                         </t>
        </is>
      </c>
      <c r="K53" s="49" t="n">
        <v>0</v>
      </c>
      <c r="L53" s="49" t="inlineStr">
        <is>
          <t>18/12/1991</t>
        </is>
      </c>
      <c r="M53" s="49" t="inlineStr">
        <is>
          <t xml:space="preserve">SUPIA                         </t>
        </is>
      </c>
      <c r="N53" s="49" t="inlineStr">
        <is>
          <t xml:space="preserve">0000                </t>
        </is>
      </c>
      <c r="O53" s="49" t="inlineStr">
        <is>
          <t>3154083711</t>
        </is>
      </c>
      <c r="P53" s="49" t="inlineStr">
        <is>
          <t>VDA La Linea</t>
        </is>
      </c>
      <c r="Q53" s="49" t="inlineStr">
        <is>
          <t>Victorganan334@gmail.com</t>
        </is>
      </c>
      <c r="R53" s="49" t="inlineStr">
        <is>
          <t>AUXILIAR DE PROTECCION</t>
        </is>
      </c>
      <c r="S53" s="108" t="n">
        <v>91.66666600000001</v>
      </c>
      <c r="T53" s="108" t="n">
        <v>0</v>
      </c>
      <c r="U53" s="108" t="n">
        <v>220</v>
      </c>
      <c r="V53" s="49" t="inlineStr">
        <is>
          <t>CONSIG. CTA AHORROS</t>
        </is>
      </c>
      <c r="W53" s="49" t="inlineStr">
        <is>
          <t xml:space="preserve">BANCO DAVIVIENDA S.A.         </t>
        </is>
      </c>
      <c r="X53" s="49" t="inlineStr">
        <is>
          <t xml:space="preserve">488453967884             </t>
        </is>
      </c>
      <c r="Y53" s="49" t="inlineStr">
        <is>
          <t xml:space="preserve">NO APLICA                     </t>
        </is>
      </c>
      <c r="Z53" s="49" t="inlineStr">
        <is>
          <t>CM0400-PRO</t>
        </is>
      </c>
      <c r="AA53" s="49" t="inlineStr">
        <is>
          <t>CM0400-PRO</t>
        </is>
      </c>
      <c r="AB53" s="49" t="inlineStr">
        <is>
          <t xml:space="preserve">01 </t>
        </is>
      </c>
      <c r="AC53" s="49" t="inlineStr">
        <is>
          <t xml:space="preserve">                </t>
        </is>
      </c>
      <c r="AD53" s="49" t="inlineStr">
        <is>
          <t>LEY 50</t>
        </is>
      </c>
      <c r="AE53" s="49" t="inlineStr">
        <is>
          <t>No</t>
        </is>
      </c>
      <c r="AF53" s="49" t="inlineStr">
        <is>
          <t>Normal</t>
        </is>
      </c>
      <c r="AG53" s="49" t="n"/>
      <c r="AH53" s="49" t="inlineStr">
        <is>
          <t>Si</t>
        </is>
      </c>
      <c r="AI53" s="49" t="inlineStr">
        <is>
          <t xml:space="preserve">Normal              </t>
        </is>
      </c>
      <c r="AJ53" s="49" t="inlineStr">
        <is>
          <t xml:space="preserve">Quincenal                     </t>
        </is>
      </c>
      <c r="AK53" s="49" t="inlineStr">
        <is>
          <t>NO</t>
        </is>
      </c>
      <c r="AL53" s="49" t="inlineStr">
        <is>
          <t>NO</t>
        </is>
      </c>
      <c r="AM53" s="49" t="inlineStr">
        <is>
          <t>16/07/2025</t>
        </is>
      </c>
      <c r="AN53" s="49" t="n"/>
      <c r="AO53" s="49" t="n"/>
      <c r="AP53" s="49" t="inlineStr">
        <is>
          <t xml:space="preserve">NO APLICA                </t>
        </is>
      </c>
      <c r="AQ53" s="49" t="n">
        <v>190</v>
      </c>
      <c r="AR53" s="49" t="inlineStr">
        <is>
          <t>01</t>
        </is>
      </c>
      <c r="AS53" s="49" t="n">
        <v>1</v>
      </c>
      <c r="AT53" s="49" t="inlineStr">
        <is>
          <t>No</t>
        </is>
      </c>
      <c r="AU53" s="49" t="n">
        <v>0</v>
      </c>
      <c r="AV53" s="108" t="n">
        <v>0</v>
      </c>
      <c r="AW53" s="108" t="n">
        <v>0</v>
      </c>
      <c r="AX53" s="108" t="n">
        <v>0</v>
      </c>
      <c r="AY53" s="49" t="inlineStr">
        <is>
          <t>No</t>
        </is>
      </c>
      <c r="AZ53" s="49" t="n">
        <v>0</v>
      </c>
      <c r="BA53" s="49" t="inlineStr">
        <is>
          <t>NUEVA E.P.S</t>
        </is>
      </c>
      <c r="BB53" s="49" t="inlineStr">
        <is>
          <t>PORVENIR A.F.P.</t>
        </is>
      </c>
      <c r="BC53" s="49" t="inlineStr">
        <is>
          <t>CCF DE CALDAS</t>
        </is>
      </c>
      <c r="BD53" s="49" t="inlineStr">
        <is>
          <t>RIESGOS PROFESIONALES COLMENA S.A.</t>
        </is>
      </c>
      <c r="BE53" s="49" t="inlineStr">
        <is>
          <t>PORVENIR CESANTIAS</t>
        </is>
      </c>
      <c r="BF53" s="49" t="n">
        <v>6.96</v>
      </c>
      <c r="BG53" s="49" t="n">
        <v>220</v>
      </c>
      <c r="BH53" s="49" t="n">
        <v>15</v>
      </c>
      <c r="BI53" s="49" t="inlineStr">
        <is>
          <t xml:space="preserve">0           </t>
        </is>
      </c>
      <c r="BJ53" s="49" t="inlineStr">
        <is>
          <t xml:space="preserve">NO APLICA                               </t>
        </is>
      </c>
      <c r="BK53" s="49" t="inlineStr">
        <is>
          <t>02</t>
        </is>
      </c>
      <c r="BL53" s="49" t="inlineStr">
        <is>
          <t xml:space="preserve">Caldas                                  </t>
        </is>
      </c>
      <c r="BM53" s="49" t="inlineStr">
        <is>
          <t>02</t>
        </is>
      </c>
      <c r="BN53" s="49" t="inlineStr">
        <is>
          <t xml:space="preserve">Supia                                   </t>
        </is>
      </c>
      <c r="BO53" s="49" t="inlineStr">
        <is>
          <t>0</t>
        </is>
      </c>
      <c r="BP53" s="49" t="inlineStr">
        <is>
          <t>NO APLICA</t>
        </is>
      </c>
      <c r="BQ53" s="49" t="inlineStr">
        <is>
          <t>0</t>
        </is>
      </c>
      <c r="BR53" s="49" t="inlineStr">
        <is>
          <t>NO APLICA</t>
        </is>
      </c>
      <c r="BS53" s="49" t="inlineStr">
        <is>
          <t>0</t>
        </is>
      </c>
      <c r="BT53" s="49" t="inlineStr">
        <is>
          <t>NO APLICA</t>
        </is>
      </c>
      <c r="BU53" s="49" t="inlineStr">
        <is>
          <t>0</t>
        </is>
      </c>
      <c r="BV53" s="49" t="inlineStr">
        <is>
          <t>NO APLICA</t>
        </is>
      </c>
      <c r="BW53" s="49" t="inlineStr">
        <is>
          <t>No</t>
        </is>
      </c>
      <c r="BX53" s="49" t="inlineStr">
        <is>
          <t xml:space="preserve">No Aplica                     </t>
        </is>
      </c>
    </row>
    <row r="54" ht="22.5" customHeight="1">
      <c r="A54" s="49" t="n">
        <v>1060592562</v>
      </c>
      <c r="B54" s="49" t="inlineStr">
        <is>
          <t>107</t>
        </is>
      </c>
      <c r="C54" s="49" t="n">
        <v>1060592562</v>
      </c>
      <c r="D54" s="49" t="inlineStr">
        <is>
          <t>CC</t>
        </is>
      </c>
      <c r="E54" s="49" t="inlineStr">
        <is>
          <t>ARREDONDO ANZOLA DANIEL ALAIN</t>
        </is>
      </c>
      <c r="F54" s="49" t="inlineStr">
        <is>
          <t>M</t>
        </is>
      </c>
      <c r="G54" s="49" t="inlineStr">
        <is>
          <t xml:space="preserve">A  </t>
        </is>
      </c>
      <c r="H54" s="49" t="inlineStr">
        <is>
          <t>+</t>
        </is>
      </c>
      <c r="I54" s="49" t="inlineStr">
        <is>
          <t>CASADO</t>
        </is>
      </c>
      <c r="J54" s="49" t="inlineStr">
        <is>
          <t xml:space="preserve">SUPIA                         </t>
        </is>
      </c>
      <c r="K54" s="49" t="n">
        <v>0</v>
      </c>
      <c r="L54" s="49" t="inlineStr">
        <is>
          <t>11/10/1992</t>
        </is>
      </c>
      <c r="M54" s="49" t="inlineStr">
        <is>
          <t xml:space="preserve">SUPIA                         </t>
        </is>
      </c>
      <c r="N54" s="49" t="inlineStr">
        <is>
          <t xml:space="preserve">0                   </t>
        </is>
      </c>
      <c r="O54" s="49" t="inlineStr">
        <is>
          <t>3155106373</t>
        </is>
      </c>
      <c r="P54" s="49" t="inlineStr">
        <is>
          <t xml:space="preserve">CR 7 41 83 </t>
        </is>
      </c>
      <c r="Q54" s="49" t="inlineStr">
        <is>
          <t>jcmati0602@gmail.com</t>
        </is>
      </c>
      <c r="R54" s="49" t="inlineStr">
        <is>
          <t>AUXILIAR DE EXPLORACIÓN</t>
        </is>
      </c>
      <c r="S54" s="108" t="n">
        <v>91.66666600000001</v>
      </c>
      <c r="T54" s="108" t="n">
        <v>0</v>
      </c>
      <c r="U54" s="108" t="n">
        <v>220</v>
      </c>
      <c r="V54" s="49" t="inlineStr">
        <is>
          <t>CONSIG. CTA AHORROS</t>
        </is>
      </c>
      <c r="W54" s="49" t="inlineStr">
        <is>
          <t xml:space="preserve">BANCO DAVIVIENDA S.A.         </t>
        </is>
      </c>
      <c r="X54" s="49" t="inlineStr">
        <is>
          <t xml:space="preserve">0550488446632512         </t>
        </is>
      </c>
      <c r="Y54" s="49" t="inlineStr">
        <is>
          <t xml:space="preserve">NO APLICA                     </t>
        </is>
      </c>
      <c r="Z54" s="49" t="inlineStr">
        <is>
          <t>CM0100-EXP</t>
        </is>
      </c>
      <c r="AA54" s="49" t="inlineStr">
        <is>
          <t>CM0100-EXP</t>
        </is>
      </c>
      <c r="AB54" s="49" t="inlineStr">
        <is>
          <t xml:space="preserve">01 </t>
        </is>
      </c>
      <c r="AC54" s="49" t="inlineStr">
        <is>
          <t xml:space="preserve">                </t>
        </is>
      </c>
      <c r="AD54" s="49" t="inlineStr">
        <is>
          <t>LEY 50</t>
        </is>
      </c>
      <c r="AE54" s="49" t="inlineStr">
        <is>
          <t>No</t>
        </is>
      </c>
      <c r="AF54" s="49" t="inlineStr">
        <is>
          <t>Normal</t>
        </is>
      </c>
      <c r="AG54" s="49" t="n"/>
      <c r="AH54" s="49" t="inlineStr">
        <is>
          <t>Si</t>
        </is>
      </c>
      <c r="AI54" s="49" t="inlineStr">
        <is>
          <t xml:space="preserve">Normal              </t>
        </is>
      </c>
      <c r="AJ54" s="49" t="inlineStr">
        <is>
          <t xml:space="preserve">Quincenal                     </t>
        </is>
      </c>
      <c r="AK54" s="49" t="inlineStr">
        <is>
          <t>NO</t>
        </is>
      </c>
      <c r="AL54" s="49" t="inlineStr">
        <is>
          <t>NO</t>
        </is>
      </c>
      <c r="AM54" s="49" t="inlineStr">
        <is>
          <t>10/03/2025</t>
        </is>
      </c>
      <c r="AN54" s="49" t="n"/>
      <c r="AO54" s="49" t="n"/>
      <c r="AP54" s="49" t="inlineStr">
        <is>
          <t xml:space="preserve">NO APLICA                </t>
        </is>
      </c>
      <c r="AQ54" s="49" t="n">
        <v>167</v>
      </c>
      <c r="AR54" s="49" t="inlineStr">
        <is>
          <t>01</t>
        </is>
      </c>
      <c r="AS54" s="49" t="n">
        <v>1</v>
      </c>
      <c r="AT54" s="49" t="inlineStr">
        <is>
          <t>No</t>
        </is>
      </c>
      <c r="AU54" s="49" t="n">
        <v>0</v>
      </c>
      <c r="AV54" s="108" t="n">
        <v>0</v>
      </c>
      <c r="AW54" s="108" t="n">
        <v>0</v>
      </c>
      <c r="AX54" s="108" t="n">
        <v>0</v>
      </c>
      <c r="AY54" s="49" t="inlineStr">
        <is>
          <t>No</t>
        </is>
      </c>
      <c r="AZ54" s="49" t="n">
        <v>0</v>
      </c>
      <c r="BA54" s="49" t="inlineStr">
        <is>
          <t>Entidad Promotora de Salud Mallamas EPSI</t>
        </is>
      </c>
      <c r="BB54" s="49" t="inlineStr">
        <is>
          <t>PORVENIR A.F.P.</t>
        </is>
      </c>
      <c r="BC54" s="49" t="inlineStr">
        <is>
          <t>CCF DE CALDAS</t>
        </is>
      </c>
      <c r="BD54" s="49" t="inlineStr">
        <is>
          <t>RIESGOS PROFESIONALES COLMENA S.A.</t>
        </is>
      </c>
      <c r="BE54" s="49" t="inlineStr">
        <is>
          <t>PORVENIR CESANTIAS</t>
        </is>
      </c>
      <c r="BF54" s="49" t="n">
        <v>6.96</v>
      </c>
      <c r="BG54" s="49" t="n">
        <v>220</v>
      </c>
      <c r="BH54" s="49" t="n">
        <v>15</v>
      </c>
      <c r="BI54" s="49" t="inlineStr">
        <is>
          <t xml:space="preserve">0           </t>
        </is>
      </c>
      <c r="BJ54" s="49" t="inlineStr">
        <is>
          <t xml:space="preserve">NO APLICA                               </t>
        </is>
      </c>
      <c r="BK54" s="49" t="inlineStr">
        <is>
          <t>02</t>
        </is>
      </c>
      <c r="BL54" s="49" t="inlineStr">
        <is>
          <t xml:space="preserve">Caldas                                  </t>
        </is>
      </c>
      <c r="BM54" s="49" t="inlineStr">
        <is>
          <t>02</t>
        </is>
      </c>
      <c r="BN54" s="49" t="inlineStr">
        <is>
          <t xml:space="preserve">Supia                                   </t>
        </is>
      </c>
      <c r="BO54" s="49" t="inlineStr">
        <is>
          <t>0</t>
        </is>
      </c>
      <c r="BP54" s="49" t="inlineStr">
        <is>
          <t>NO APLICA</t>
        </is>
      </c>
      <c r="BQ54" s="49" t="inlineStr">
        <is>
          <t>0</t>
        </is>
      </c>
      <c r="BR54" s="49" t="inlineStr">
        <is>
          <t>NO APLICA</t>
        </is>
      </c>
      <c r="BS54" s="49" t="inlineStr">
        <is>
          <t>0</t>
        </is>
      </c>
      <c r="BT54" s="49" t="inlineStr">
        <is>
          <t>NO APLICA</t>
        </is>
      </c>
      <c r="BU54" s="49" t="inlineStr">
        <is>
          <t>0</t>
        </is>
      </c>
      <c r="BV54" s="49" t="inlineStr">
        <is>
          <t>NO APLICA</t>
        </is>
      </c>
      <c r="BW54" s="49" t="inlineStr">
        <is>
          <t>No</t>
        </is>
      </c>
      <c r="BX54" s="49" t="inlineStr">
        <is>
          <t xml:space="preserve">No Aplica                     </t>
        </is>
      </c>
    </row>
    <row r="55" ht="22.5" customHeight="1">
      <c r="A55" s="49" t="n">
        <v>1060594098</v>
      </c>
      <c r="B55" s="49" t="inlineStr">
        <is>
          <t>026</t>
        </is>
      </c>
      <c r="C55" s="49" t="n">
        <v>1060594098</v>
      </c>
      <c r="D55" s="49" t="inlineStr">
        <is>
          <t>CC</t>
        </is>
      </c>
      <c r="E55" s="49" t="inlineStr">
        <is>
          <t>GALEANO AYALA GLORIA EDITH</t>
        </is>
      </c>
      <c r="F55" s="49" t="inlineStr">
        <is>
          <t>F</t>
        </is>
      </c>
      <c r="G55" s="49" t="inlineStr">
        <is>
          <t xml:space="preserve">O  </t>
        </is>
      </c>
      <c r="H55" s="49" t="inlineStr">
        <is>
          <t>+</t>
        </is>
      </c>
      <c r="I55" s="49" t="inlineStr">
        <is>
          <t>SOLTERO</t>
        </is>
      </c>
      <c r="J55" s="49" t="inlineStr">
        <is>
          <t xml:space="preserve">SUPIA                         </t>
        </is>
      </c>
      <c r="K55" s="49" t="n">
        <v>0</v>
      </c>
      <c r="L55" s="49" t="inlineStr">
        <is>
          <t>28/07/1994</t>
        </is>
      </c>
      <c r="M55" s="49" t="inlineStr">
        <is>
          <t xml:space="preserve">SUPIA                         </t>
        </is>
      </c>
      <c r="N55" s="49" t="inlineStr">
        <is>
          <t xml:space="preserve">3778174             </t>
        </is>
      </c>
      <c r="O55" s="49" t="inlineStr">
        <is>
          <t>3233778174</t>
        </is>
      </c>
      <c r="P55" s="49" t="inlineStr">
        <is>
          <t>VEREDA TIZAMAR</t>
        </is>
      </c>
      <c r="Q55" s="49" t="inlineStr">
        <is>
          <t>gloriaedithga@gmail.com</t>
        </is>
      </c>
      <c r="R55" s="49" t="inlineStr">
        <is>
          <t>ANALISTA HSE</t>
        </is>
      </c>
      <c r="S55" s="108" t="n">
        <v>91.66666600000001</v>
      </c>
      <c r="T55" s="108" t="n">
        <v>0</v>
      </c>
      <c r="U55" s="108" t="n">
        <v>220</v>
      </c>
      <c r="V55" s="49" t="inlineStr">
        <is>
          <t>CONSIG. CTA AHORROS</t>
        </is>
      </c>
      <c r="W55" s="49" t="inlineStr">
        <is>
          <t xml:space="preserve">BANCO DAVIVIENDA S.A.         </t>
        </is>
      </c>
      <c r="X55" s="49" t="inlineStr">
        <is>
          <t xml:space="preserve">0550488410216219         </t>
        </is>
      </c>
      <c r="Y55" s="49" t="inlineStr">
        <is>
          <t xml:space="preserve">NO APLICA                     </t>
        </is>
      </c>
      <c r="Z55" s="49" t="inlineStr">
        <is>
          <t>CM0204-ESG</t>
        </is>
      </c>
      <c r="AA55" s="49" t="inlineStr">
        <is>
          <t>CM0204-ESGHSE</t>
        </is>
      </c>
      <c r="AB55" s="49" t="inlineStr">
        <is>
          <t xml:space="preserve">01 </t>
        </is>
      </c>
      <c r="AC55" s="49" t="inlineStr">
        <is>
          <t xml:space="preserve">0               </t>
        </is>
      </c>
      <c r="AD55" s="49" t="inlineStr">
        <is>
          <t>LEY 50</t>
        </is>
      </c>
      <c r="AE55" s="49" t="inlineStr">
        <is>
          <t>No</t>
        </is>
      </c>
      <c r="AF55" s="49" t="inlineStr">
        <is>
          <t>Normal</t>
        </is>
      </c>
      <c r="AG55" s="49" t="n"/>
      <c r="AH55" s="49" t="inlineStr">
        <is>
          <t>Si</t>
        </is>
      </c>
      <c r="AI55" s="49" t="inlineStr">
        <is>
          <t xml:space="preserve">Normal              </t>
        </is>
      </c>
      <c r="AJ55" s="49" t="inlineStr">
        <is>
          <t xml:space="preserve">Quincenal                     </t>
        </is>
      </c>
      <c r="AK55" s="49" t="inlineStr">
        <is>
          <t>NO</t>
        </is>
      </c>
      <c r="AL55" s="49" t="inlineStr">
        <is>
          <t>NO</t>
        </is>
      </c>
      <c r="AM55" s="49" t="inlineStr">
        <is>
          <t>24/05/2022</t>
        </is>
      </c>
      <c r="AN55" s="49" t="n"/>
      <c r="AO55" s="49" t="n"/>
      <c r="AP55" s="49" t="inlineStr">
        <is>
          <t xml:space="preserve">NO APLICA                </t>
        </is>
      </c>
      <c r="AQ55" s="49" t="n">
        <v>22</v>
      </c>
      <c r="AR55" s="49" t="inlineStr">
        <is>
          <t>03</t>
        </is>
      </c>
      <c r="AS55" s="49" t="n">
        <v>1</v>
      </c>
      <c r="AT55" s="49" t="inlineStr">
        <is>
          <t>No</t>
        </is>
      </c>
      <c r="AU55" s="49" t="n">
        <v>0</v>
      </c>
      <c r="AV55" s="108" t="n">
        <v>0</v>
      </c>
      <c r="AW55" s="108" t="n">
        <v>0</v>
      </c>
      <c r="AX55" s="108" t="n">
        <v>0</v>
      </c>
      <c r="AY55" s="49" t="inlineStr">
        <is>
          <t>No</t>
        </is>
      </c>
      <c r="AZ55" s="49" t="n">
        <v>70690</v>
      </c>
      <c r="BA55" s="49" t="inlineStr">
        <is>
          <t>NUEVA E.P.S</t>
        </is>
      </c>
      <c r="BB55" s="49" t="inlineStr">
        <is>
          <t>COLPENSIONES - I.S.S. PENSION</t>
        </is>
      </c>
      <c r="BC55" s="49" t="inlineStr">
        <is>
          <t>CCF DE CALDAS</t>
        </is>
      </c>
      <c r="BD55" s="49" t="inlineStr">
        <is>
          <t>RIESGOS PROFESIONALES COLMENA S.A.</t>
        </is>
      </c>
      <c r="BE55" s="49" t="inlineStr">
        <is>
          <t>PROTECCION CESANTIAS</t>
        </is>
      </c>
      <c r="BF55" s="49" t="n">
        <v>6.96</v>
      </c>
      <c r="BG55" s="49" t="n">
        <v>220</v>
      </c>
      <c r="BH55" s="49" t="n">
        <v>15</v>
      </c>
      <c r="BI55" s="49" t="inlineStr">
        <is>
          <t xml:space="preserve">0           </t>
        </is>
      </c>
      <c r="BJ55" s="49" t="inlineStr">
        <is>
          <t xml:space="preserve">NO APLICA                               </t>
        </is>
      </c>
      <c r="BK55" s="49" t="inlineStr">
        <is>
          <t>02</t>
        </is>
      </c>
      <c r="BL55" s="49" t="inlineStr">
        <is>
          <t xml:space="preserve">Caldas                                  </t>
        </is>
      </c>
      <c r="BM55" s="49" t="inlineStr">
        <is>
          <t>02</t>
        </is>
      </c>
      <c r="BN55" s="49" t="inlineStr">
        <is>
          <t xml:space="preserve">Supia                                   </t>
        </is>
      </c>
      <c r="BO55" s="49" t="inlineStr">
        <is>
          <t>0</t>
        </is>
      </c>
      <c r="BP55" s="49" t="inlineStr">
        <is>
          <t>NO APLICA</t>
        </is>
      </c>
      <c r="BQ55" s="49" t="inlineStr">
        <is>
          <t>0</t>
        </is>
      </c>
      <c r="BR55" s="49" t="inlineStr">
        <is>
          <t>NO APLICA</t>
        </is>
      </c>
      <c r="BS55" s="49" t="inlineStr">
        <is>
          <t>0</t>
        </is>
      </c>
      <c r="BT55" s="49" t="inlineStr">
        <is>
          <t>NO APLICA</t>
        </is>
      </c>
      <c r="BU55" s="49" t="inlineStr">
        <is>
          <t>0</t>
        </is>
      </c>
      <c r="BV55" s="49" t="inlineStr">
        <is>
          <t>NO APLICA</t>
        </is>
      </c>
      <c r="BW55" s="49" t="inlineStr">
        <is>
          <t>No</t>
        </is>
      </c>
      <c r="BX55" s="49" t="inlineStr">
        <is>
          <t xml:space="preserve">No Aplica                     </t>
        </is>
      </c>
    </row>
    <row r="56" ht="22.5" customHeight="1">
      <c r="A56" s="49" t="n">
        <v>1060594159</v>
      </c>
      <c r="B56" s="49" t="inlineStr">
        <is>
          <t xml:space="preserve"> 140</t>
        </is>
      </c>
      <c r="C56" s="49" t="n">
        <v>1060594159</v>
      </c>
      <c r="D56" s="49" t="inlineStr">
        <is>
          <t>CC</t>
        </is>
      </c>
      <c r="E56" s="49" t="inlineStr">
        <is>
          <t>REYES VILLADA BRAYAN HERNANDO</t>
        </is>
      </c>
      <c r="F56" s="49" t="inlineStr">
        <is>
          <t>M</t>
        </is>
      </c>
      <c r="G56" s="49" t="inlineStr">
        <is>
          <t xml:space="preserve">A  </t>
        </is>
      </c>
      <c r="H56" s="49" t="inlineStr">
        <is>
          <t>+</t>
        </is>
      </c>
      <c r="I56" s="49" t="inlineStr">
        <is>
          <t>UNION LIBRE</t>
        </is>
      </c>
      <c r="J56" s="49" t="inlineStr">
        <is>
          <t xml:space="preserve">SUPIA                         </t>
        </is>
      </c>
      <c r="K56" s="49" t="n">
        <v>0</v>
      </c>
      <c r="L56" s="49" t="inlineStr">
        <is>
          <t>04/09/1994</t>
        </is>
      </c>
      <c r="M56" s="49" t="inlineStr">
        <is>
          <t xml:space="preserve">SUPIA                         </t>
        </is>
      </c>
      <c r="N56" s="49" t="inlineStr">
        <is>
          <t xml:space="preserve">0000                </t>
        </is>
      </c>
      <c r="O56" s="49" t="inlineStr">
        <is>
          <t>3103405325</t>
        </is>
      </c>
      <c r="P56" s="49" t="inlineStr">
        <is>
          <t>VDA San Pablo</t>
        </is>
      </c>
      <c r="Q56" s="49" t="inlineStr">
        <is>
          <t>breyesvillada@gmail.com</t>
        </is>
      </c>
      <c r="R56" s="49" t="inlineStr">
        <is>
          <t>ANALISTA HSE</t>
        </is>
      </c>
      <c r="S56" s="108" t="n">
        <v>91.66666600000001</v>
      </c>
      <c r="T56" s="108" t="n">
        <v>0</v>
      </c>
      <c r="U56" s="108" t="n">
        <v>220</v>
      </c>
      <c r="V56" s="49" t="inlineStr">
        <is>
          <t>CONSIG. CTA AHORROS</t>
        </is>
      </c>
      <c r="W56" s="49" t="inlineStr">
        <is>
          <t xml:space="preserve">BANCO DAVIVIENDA S.A.         </t>
        </is>
      </c>
      <c r="X56" s="49" t="inlineStr">
        <is>
          <t xml:space="preserve">550488455702214          </t>
        </is>
      </c>
      <c r="Y56" s="49" t="inlineStr">
        <is>
          <t xml:space="preserve">NO APLICA                     </t>
        </is>
      </c>
      <c r="Z56" s="49" t="inlineStr">
        <is>
          <t>CM0204-ESG</t>
        </is>
      </c>
      <c r="AA56" s="49" t="inlineStr">
        <is>
          <t>CM0204-ESGHSE</t>
        </is>
      </c>
      <c r="AB56" s="49" t="inlineStr">
        <is>
          <t xml:space="preserve">01 </t>
        </is>
      </c>
      <c r="AC56" s="49" t="inlineStr">
        <is>
          <t xml:space="preserve">                </t>
        </is>
      </c>
      <c r="AD56" s="49" t="inlineStr">
        <is>
          <t>LEY 50</t>
        </is>
      </c>
      <c r="AE56" s="49" t="inlineStr">
        <is>
          <t>No</t>
        </is>
      </c>
      <c r="AF56" s="49" t="inlineStr">
        <is>
          <t>Normal</t>
        </is>
      </c>
      <c r="AG56" s="49" t="n"/>
      <c r="AH56" s="49" t="inlineStr">
        <is>
          <t>Si</t>
        </is>
      </c>
      <c r="AI56" s="49" t="inlineStr">
        <is>
          <t xml:space="preserve">Normal              </t>
        </is>
      </c>
      <c r="AJ56" s="49" t="inlineStr">
        <is>
          <t xml:space="preserve">Quincenal                     </t>
        </is>
      </c>
      <c r="AK56" s="49" t="inlineStr">
        <is>
          <t>NO</t>
        </is>
      </c>
      <c r="AL56" s="49" t="inlineStr">
        <is>
          <t>NO</t>
        </is>
      </c>
      <c r="AM56" s="49" t="inlineStr">
        <is>
          <t>01/10/2025</t>
        </is>
      </c>
      <c r="AN56" s="49" t="n"/>
      <c r="AO56" s="49" t="n"/>
      <c r="AP56" s="49" t="inlineStr">
        <is>
          <t xml:space="preserve">NO APLICA                </t>
        </is>
      </c>
      <c r="AQ56" s="49" t="n">
        <v>199</v>
      </c>
      <c r="AR56" s="49" t="inlineStr">
        <is>
          <t>01</t>
        </is>
      </c>
      <c r="AS56" s="49" t="n">
        <v>1</v>
      </c>
      <c r="AT56" s="49" t="inlineStr">
        <is>
          <t>No</t>
        </is>
      </c>
      <c r="AU56" s="49" t="n">
        <v>0</v>
      </c>
      <c r="AV56" s="108" t="n">
        <v>0</v>
      </c>
      <c r="AW56" s="108" t="n">
        <v>0</v>
      </c>
      <c r="AX56" s="108" t="n">
        <v>0</v>
      </c>
      <c r="AY56" s="49" t="inlineStr">
        <is>
          <t>No</t>
        </is>
      </c>
      <c r="AZ56" s="49" t="n">
        <v>0</v>
      </c>
      <c r="BA56" s="49" t="inlineStr">
        <is>
          <t>SALUD TOTAL E.P.S.</t>
        </is>
      </c>
      <c r="BB56" s="49" t="inlineStr">
        <is>
          <t>PORVENIR A.F.P.</t>
        </is>
      </c>
      <c r="BC56" s="49" t="inlineStr">
        <is>
          <t>CCF DE CALDAS</t>
        </is>
      </c>
      <c r="BD56" s="49" t="inlineStr">
        <is>
          <t>RIESGOS PROFESIONALES COLMENA S.A.</t>
        </is>
      </c>
      <c r="BE56" s="49" t="inlineStr">
        <is>
          <t>PORVENIR CESANTIAS</t>
        </is>
      </c>
      <c r="BF56" s="49" t="n">
        <v>6.96</v>
      </c>
      <c r="BG56" s="49" t="n">
        <v>220</v>
      </c>
      <c r="BH56" s="49" t="n">
        <v>15</v>
      </c>
      <c r="BI56" s="49" t="inlineStr">
        <is>
          <t xml:space="preserve">0           </t>
        </is>
      </c>
      <c r="BJ56" s="49" t="inlineStr">
        <is>
          <t xml:space="preserve">NO APLICA                               </t>
        </is>
      </c>
      <c r="BK56" s="49" t="inlineStr">
        <is>
          <t>02</t>
        </is>
      </c>
      <c r="BL56" s="49" t="inlineStr">
        <is>
          <t xml:space="preserve">Caldas                                  </t>
        </is>
      </c>
      <c r="BM56" s="49" t="inlineStr">
        <is>
          <t>02</t>
        </is>
      </c>
      <c r="BN56" s="49" t="inlineStr">
        <is>
          <t xml:space="preserve">Supia                                   </t>
        </is>
      </c>
      <c r="BO56" s="49" t="inlineStr">
        <is>
          <t>0</t>
        </is>
      </c>
      <c r="BP56" s="49" t="inlineStr">
        <is>
          <t>NO APLICA</t>
        </is>
      </c>
      <c r="BQ56" s="49" t="inlineStr">
        <is>
          <t>0</t>
        </is>
      </c>
      <c r="BR56" s="49" t="inlineStr">
        <is>
          <t>NO APLICA</t>
        </is>
      </c>
      <c r="BS56" s="49" t="inlineStr">
        <is>
          <t>0</t>
        </is>
      </c>
      <c r="BT56" s="49" t="inlineStr">
        <is>
          <t>NO APLICA</t>
        </is>
      </c>
      <c r="BU56" s="49" t="inlineStr">
        <is>
          <t>0</t>
        </is>
      </c>
      <c r="BV56" s="49" t="inlineStr">
        <is>
          <t>NO APLICA</t>
        </is>
      </c>
      <c r="BW56" s="49" t="inlineStr">
        <is>
          <t>No</t>
        </is>
      </c>
      <c r="BX56" s="49" t="inlineStr">
        <is>
          <t xml:space="preserve">No Aplica                     </t>
        </is>
      </c>
    </row>
    <row r="57" ht="22.5" customHeight="1">
      <c r="A57" s="49" t="n">
        <v>1060594638</v>
      </c>
      <c r="B57" s="49" t="inlineStr">
        <is>
          <t xml:space="preserve"> 115</t>
        </is>
      </c>
      <c r="C57" s="49" t="n">
        <v>1060594638</v>
      </c>
      <c r="D57" s="49" t="inlineStr">
        <is>
          <t>CC</t>
        </is>
      </c>
      <c r="E57" s="49" t="inlineStr">
        <is>
          <t>PIEDRAHITA CARTAGENA DANIEL ARMANDO</t>
        </is>
      </c>
      <c r="F57" s="49" t="inlineStr">
        <is>
          <t>F</t>
        </is>
      </c>
      <c r="G57" s="49" t="inlineStr">
        <is>
          <t xml:space="preserve">A  </t>
        </is>
      </c>
      <c r="H57" s="49" t="inlineStr">
        <is>
          <t>+</t>
        </is>
      </c>
      <c r="I57" s="49" t="inlineStr">
        <is>
          <t>SOLTERO</t>
        </is>
      </c>
      <c r="J57" s="49" t="inlineStr">
        <is>
          <t xml:space="preserve">SUPIA                         </t>
        </is>
      </c>
      <c r="K57" s="49" t="n">
        <v>0</v>
      </c>
      <c r="L57" s="49" t="inlineStr">
        <is>
          <t>20/05/1994</t>
        </is>
      </c>
      <c r="M57" s="49" t="inlineStr">
        <is>
          <t xml:space="preserve">SUPIA                         </t>
        </is>
      </c>
      <c r="N57" s="49" t="inlineStr">
        <is>
          <t xml:space="preserve">0                   </t>
        </is>
      </c>
      <c r="O57" s="49" t="inlineStr">
        <is>
          <t>3206515922</t>
        </is>
      </c>
      <c r="P57" s="49" t="inlineStr">
        <is>
          <t>VEREDA BAJO SEVILLA</t>
        </is>
      </c>
      <c r="Q57" s="49" t="inlineStr">
        <is>
          <t>piedrahitadan@gmail.com</t>
        </is>
      </c>
      <c r="R57" s="49" t="inlineStr">
        <is>
          <t>AUXILIAR DE EXPLORACIÓN</t>
        </is>
      </c>
      <c r="S57" s="108" t="n">
        <v>91.66666600000001</v>
      </c>
      <c r="T57" s="108" t="n">
        <v>0</v>
      </c>
      <c r="U57" s="108" t="n">
        <v>220</v>
      </c>
      <c r="V57" s="49" t="inlineStr">
        <is>
          <t>CONSIG. CTA AHORROS</t>
        </is>
      </c>
      <c r="W57" s="49" t="inlineStr">
        <is>
          <t xml:space="preserve">BANCO DAVIVIENDA S.A.         </t>
        </is>
      </c>
      <c r="X57" s="49" t="inlineStr">
        <is>
          <t xml:space="preserve">0550488446404599         </t>
        </is>
      </c>
      <c r="Y57" s="49" t="inlineStr">
        <is>
          <t xml:space="preserve">NO APLICA                     </t>
        </is>
      </c>
      <c r="Z57" s="49" t="inlineStr">
        <is>
          <t>CM0100-EXP</t>
        </is>
      </c>
      <c r="AA57" s="49" t="inlineStr">
        <is>
          <t>CM0100-EXP</t>
        </is>
      </c>
      <c r="AB57" s="49" t="inlineStr">
        <is>
          <t xml:space="preserve">01 </t>
        </is>
      </c>
      <c r="AC57" s="49" t="inlineStr">
        <is>
          <t xml:space="preserve">                </t>
        </is>
      </c>
      <c r="AD57" s="49" t="inlineStr">
        <is>
          <t>LEY 50</t>
        </is>
      </c>
      <c r="AE57" s="49" t="inlineStr">
        <is>
          <t>No</t>
        </is>
      </c>
      <c r="AF57" s="49" t="inlineStr">
        <is>
          <t>Normal</t>
        </is>
      </c>
      <c r="AG57" s="49" t="n"/>
      <c r="AH57" s="49" t="inlineStr">
        <is>
          <t>Si</t>
        </is>
      </c>
      <c r="AI57" s="49" t="inlineStr">
        <is>
          <t xml:space="preserve">Normal              </t>
        </is>
      </c>
      <c r="AJ57" s="49" t="inlineStr">
        <is>
          <t xml:space="preserve">Quincenal                     </t>
        </is>
      </c>
      <c r="AK57" s="49" t="inlineStr">
        <is>
          <t>NO</t>
        </is>
      </c>
      <c r="AL57" s="49" t="inlineStr">
        <is>
          <t>NO</t>
        </is>
      </c>
      <c r="AM57" s="49" t="inlineStr">
        <is>
          <t>06/05/2025</t>
        </is>
      </c>
      <c r="AN57" s="49" t="n"/>
      <c r="AO57" s="49" t="n"/>
      <c r="AP57" s="49" t="inlineStr">
        <is>
          <t xml:space="preserve">NO APLICA                </t>
        </is>
      </c>
      <c r="AQ57" s="49" t="n">
        <v>174</v>
      </c>
      <c r="AR57" s="49" t="inlineStr">
        <is>
          <t>01</t>
        </is>
      </c>
      <c r="AS57" s="49" t="n">
        <v>1</v>
      </c>
      <c r="AT57" s="49" t="inlineStr">
        <is>
          <t>No</t>
        </is>
      </c>
      <c r="AU57" s="49" t="n">
        <v>0</v>
      </c>
      <c r="AV57" s="108" t="n">
        <v>0</v>
      </c>
      <c r="AW57" s="108" t="n">
        <v>0</v>
      </c>
      <c r="AX57" s="108" t="n">
        <v>0</v>
      </c>
      <c r="AY57" s="49" t="inlineStr">
        <is>
          <t>No</t>
        </is>
      </c>
      <c r="AZ57" s="49" t="n">
        <v>0</v>
      </c>
      <c r="BA57" s="49" t="inlineStr">
        <is>
          <t>NUEVA E.P.S</t>
        </is>
      </c>
      <c r="BB57" s="49" t="inlineStr">
        <is>
          <t>PORVENIR A.F.P.</t>
        </is>
      </c>
      <c r="BC57" s="49" t="inlineStr">
        <is>
          <t>CCF DE CALDAS</t>
        </is>
      </c>
      <c r="BD57" s="49" t="inlineStr">
        <is>
          <t>RIESGOS PROFESIONALES COLMENA S.A.</t>
        </is>
      </c>
      <c r="BE57" s="49" t="inlineStr">
        <is>
          <t>PORVENIR CESANTIAS</t>
        </is>
      </c>
      <c r="BF57" s="49" t="n">
        <v>6.96</v>
      </c>
      <c r="BG57" s="49" t="n">
        <v>220</v>
      </c>
      <c r="BH57" s="49" t="n">
        <v>15</v>
      </c>
      <c r="BI57" s="49" t="inlineStr">
        <is>
          <t xml:space="preserve">0           </t>
        </is>
      </c>
      <c r="BJ57" s="49" t="inlineStr">
        <is>
          <t xml:space="preserve">NO APLICA                               </t>
        </is>
      </c>
      <c r="BK57" s="49" t="inlineStr">
        <is>
          <t>02</t>
        </is>
      </c>
      <c r="BL57" s="49" t="inlineStr">
        <is>
          <t xml:space="preserve">Caldas                                  </t>
        </is>
      </c>
      <c r="BM57" s="49" t="inlineStr">
        <is>
          <t>02</t>
        </is>
      </c>
      <c r="BN57" s="49" t="inlineStr">
        <is>
          <t xml:space="preserve">Supia                                   </t>
        </is>
      </c>
      <c r="BO57" s="49" t="inlineStr">
        <is>
          <t>0</t>
        </is>
      </c>
      <c r="BP57" s="49" t="inlineStr">
        <is>
          <t>NO APLICA</t>
        </is>
      </c>
      <c r="BQ57" s="49" t="inlineStr">
        <is>
          <t>0</t>
        </is>
      </c>
      <c r="BR57" s="49" t="inlineStr">
        <is>
          <t>NO APLICA</t>
        </is>
      </c>
      <c r="BS57" s="49" t="inlineStr">
        <is>
          <t>0</t>
        </is>
      </c>
      <c r="BT57" s="49" t="inlineStr">
        <is>
          <t>NO APLICA</t>
        </is>
      </c>
      <c r="BU57" s="49" t="inlineStr">
        <is>
          <t>0</t>
        </is>
      </c>
      <c r="BV57" s="49" t="inlineStr">
        <is>
          <t>NO APLICA</t>
        </is>
      </c>
      <c r="BW57" s="49" t="inlineStr">
        <is>
          <t>No</t>
        </is>
      </c>
      <c r="BX57" s="49" t="inlineStr">
        <is>
          <t xml:space="preserve">No Aplica                     </t>
        </is>
      </c>
    </row>
    <row r="58" ht="22.5" customHeight="1">
      <c r="A58" s="49" t="n">
        <v>1060594799</v>
      </c>
      <c r="B58" s="49" t="inlineStr">
        <is>
          <t>071</t>
        </is>
      </c>
      <c r="C58" s="49" t="n">
        <v>1060594799</v>
      </c>
      <c r="D58" s="49" t="inlineStr">
        <is>
          <t>CC</t>
        </is>
      </c>
      <c r="E58" s="49" t="inlineStr">
        <is>
          <t>RIOS MARIN JUAN FELIPE</t>
        </is>
      </c>
      <c r="F58" s="49" t="inlineStr">
        <is>
          <t>M</t>
        </is>
      </c>
      <c r="G58" s="49" t="inlineStr">
        <is>
          <t xml:space="preserve">A  </t>
        </is>
      </c>
      <c r="H58" s="49" t="inlineStr">
        <is>
          <t>+</t>
        </is>
      </c>
      <c r="I58" s="49" t="inlineStr">
        <is>
          <t>SOLTERO</t>
        </is>
      </c>
      <c r="J58" s="49" t="inlineStr">
        <is>
          <t xml:space="preserve">SUPIA                         </t>
        </is>
      </c>
      <c r="K58" s="49" t="n">
        <v>0</v>
      </c>
      <c r="L58" s="49" t="inlineStr">
        <is>
          <t>24/06/1995</t>
        </is>
      </c>
      <c r="M58" s="49" t="inlineStr">
        <is>
          <t xml:space="preserve">SUPIA                         </t>
        </is>
      </c>
      <c r="N58" s="49" t="inlineStr">
        <is>
          <t xml:space="preserve">0                   </t>
        </is>
      </c>
      <c r="O58" s="49" t="inlineStr">
        <is>
          <t>3215983011</t>
        </is>
      </c>
      <c r="P58" s="49" t="inlineStr">
        <is>
          <t>VRD Santa Ana</t>
        </is>
      </c>
      <c r="Q58" s="49" t="inlineStr">
        <is>
          <t>pipemarin9544@gmail.com</t>
        </is>
      </c>
      <c r="R58" s="49" t="inlineStr">
        <is>
          <t>TECNICO FORMALIZACION</t>
        </is>
      </c>
      <c r="S58" s="108" t="n">
        <v>91.66666600000001</v>
      </c>
      <c r="T58" s="108" t="n">
        <v>0</v>
      </c>
      <c r="U58" s="108" t="n">
        <v>220</v>
      </c>
      <c r="V58" s="49" t="inlineStr">
        <is>
          <t>CONSIG. CTA AHORROS</t>
        </is>
      </c>
      <c r="W58" s="49" t="inlineStr">
        <is>
          <t xml:space="preserve">BANCOLOMBIA S.A.              </t>
        </is>
      </c>
      <c r="X58" s="49" t="inlineStr">
        <is>
          <t xml:space="preserve">91266741079              </t>
        </is>
      </c>
      <c r="Y58" s="49" t="inlineStr">
        <is>
          <t xml:space="preserve">NO APLICA                     </t>
        </is>
      </c>
      <c r="Z58" s="49" t="inlineStr">
        <is>
          <t>CM0203-ESG</t>
        </is>
      </c>
      <c r="AA58" s="49" t="inlineStr">
        <is>
          <t>CM0203-ESGFORM</t>
        </is>
      </c>
      <c r="AB58" s="49" t="inlineStr">
        <is>
          <t xml:space="preserve">01 </t>
        </is>
      </c>
      <c r="AC58" s="49" t="inlineStr">
        <is>
          <t xml:space="preserve">                </t>
        </is>
      </c>
      <c r="AD58" s="49" t="inlineStr">
        <is>
          <t>LEY 50</t>
        </is>
      </c>
      <c r="AE58" s="49" t="inlineStr">
        <is>
          <t>No</t>
        </is>
      </c>
      <c r="AF58" s="49" t="inlineStr">
        <is>
          <t>Normal</t>
        </is>
      </c>
      <c r="AG58" s="49" t="n"/>
      <c r="AH58" s="49" t="inlineStr">
        <is>
          <t>Si</t>
        </is>
      </c>
      <c r="AI58" s="49" t="inlineStr">
        <is>
          <t xml:space="preserve">Normal              </t>
        </is>
      </c>
      <c r="AJ58" s="49" t="inlineStr">
        <is>
          <t xml:space="preserve">Quincenal                     </t>
        </is>
      </c>
      <c r="AK58" s="49" t="inlineStr">
        <is>
          <t>NO</t>
        </is>
      </c>
      <c r="AL58" s="49" t="inlineStr">
        <is>
          <t>NO</t>
        </is>
      </c>
      <c r="AM58" s="49" t="inlineStr">
        <is>
          <t>22/04/2024</t>
        </is>
      </c>
      <c r="AN58" s="49" t="n"/>
      <c r="AO58" s="49" t="n"/>
      <c r="AP58" s="49" t="inlineStr">
        <is>
          <t xml:space="preserve">NO APLICA                </t>
        </is>
      </c>
      <c r="AQ58" s="49" t="n">
        <v>123</v>
      </c>
      <c r="AR58" s="49" t="inlineStr">
        <is>
          <t>03</t>
        </is>
      </c>
      <c r="AS58" s="49" t="n">
        <v>1</v>
      </c>
      <c r="AT58" s="49" t="inlineStr">
        <is>
          <t>No</t>
        </is>
      </c>
      <c r="AU58" s="49" t="n">
        <v>0</v>
      </c>
      <c r="AV58" s="108" t="n">
        <v>0</v>
      </c>
      <c r="AW58" s="108" t="n">
        <v>0</v>
      </c>
      <c r="AX58" s="108" t="n">
        <v>0</v>
      </c>
      <c r="AY58" s="49" t="inlineStr">
        <is>
          <t>No</t>
        </is>
      </c>
      <c r="AZ58" s="49" t="n">
        <v>113806</v>
      </c>
      <c r="BA58" s="49" t="inlineStr">
        <is>
          <t>NUEVA E.P.S</t>
        </is>
      </c>
      <c r="BB58" s="49" t="inlineStr">
        <is>
          <t>COLPENSIONES - I.S.S. PENSION</t>
        </is>
      </c>
      <c r="BC58" s="49" t="inlineStr">
        <is>
          <t>CCF DE CALDAS</t>
        </is>
      </c>
      <c r="BD58" s="49" t="inlineStr">
        <is>
          <t>RIESGOS PROFESIONALES COLMENA S.A.</t>
        </is>
      </c>
      <c r="BE58" s="49" t="inlineStr">
        <is>
          <t>PORVENIR CESANTIAS</t>
        </is>
      </c>
      <c r="BF58" s="49" t="n">
        <v>6.96</v>
      </c>
      <c r="BG58" s="49" t="n">
        <v>220</v>
      </c>
      <c r="BH58" s="49" t="n">
        <v>15</v>
      </c>
      <c r="BI58" s="49" t="inlineStr">
        <is>
          <t xml:space="preserve">0           </t>
        </is>
      </c>
      <c r="BJ58" s="49" t="inlineStr">
        <is>
          <t xml:space="preserve">NO APLICA                               </t>
        </is>
      </c>
      <c r="BK58" s="49" t="inlineStr">
        <is>
          <t>02</t>
        </is>
      </c>
      <c r="BL58" s="49" t="inlineStr">
        <is>
          <t xml:space="preserve">Caldas                                  </t>
        </is>
      </c>
      <c r="BM58" s="49" t="inlineStr">
        <is>
          <t>02</t>
        </is>
      </c>
      <c r="BN58" s="49" t="inlineStr">
        <is>
          <t xml:space="preserve">Supia                                   </t>
        </is>
      </c>
      <c r="BO58" s="49" t="inlineStr">
        <is>
          <t>0</t>
        </is>
      </c>
      <c r="BP58" s="49" t="inlineStr">
        <is>
          <t>NO APLICA</t>
        </is>
      </c>
      <c r="BQ58" s="49" t="inlineStr">
        <is>
          <t>0</t>
        </is>
      </c>
      <c r="BR58" s="49" t="inlineStr">
        <is>
          <t>NO APLICA</t>
        </is>
      </c>
      <c r="BS58" s="49" t="inlineStr">
        <is>
          <t>0</t>
        </is>
      </c>
      <c r="BT58" s="49" t="inlineStr">
        <is>
          <t>NO APLICA</t>
        </is>
      </c>
      <c r="BU58" s="49" t="inlineStr">
        <is>
          <t>0</t>
        </is>
      </c>
      <c r="BV58" s="49" t="inlineStr">
        <is>
          <t>NO APLICA</t>
        </is>
      </c>
      <c r="BW58" s="49" t="inlineStr">
        <is>
          <t>No</t>
        </is>
      </c>
      <c r="BX58" s="49" t="inlineStr">
        <is>
          <t xml:space="preserve">No Aplica                     </t>
        </is>
      </c>
    </row>
    <row r="59" ht="22.5" customHeight="1">
      <c r="A59" s="49" t="n">
        <v>1060596363</v>
      </c>
      <c r="B59" s="49" t="inlineStr">
        <is>
          <t>090</t>
        </is>
      </c>
      <c r="C59" s="49" t="n">
        <v>1060596363</v>
      </c>
      <c r="D59" s="49" t="inlineStr">
        <is>
          <t>CC</t>
        </is>
      </c>
      <c r="E59" s="49" t="inlineStr">
        <is>
          <t>LEON GIRALDO FELIPE</t>
        </is>
      </c>
      <c r="F59" s="49" t="inlineStr">
        <is>
          <t>F</t>
        </is>
      </c>
      <c r="G59" s="49" t="inlineStr">
        <is>
          <t xml:space="preserve">A  </t>
        </is>
      </c>
      <c r="H59" s="49" t="inlineStr">
        <is>
          <t>+</t>
        </is>
      </c>
      <c r="I59" s="49" t="inlineStr">
        <is>
          <t>SOLTERO</t>
        </is>
      </c>
      <c r="J59" s="49" t="inlineStr">
        <is>
          <t xml:space="preserve">SUPIA                         </t>
        </is>
      </c>
      <c r="K59" s="49" t="n">
        <v>0</v>
      </c>
      <c r="L59" s="49" t="inlineStr">
        <is>
          <t>22/04/1997</t>
        </is>
      </c>
      <c r="M59" s="49" t="inlineStr">
        <is>
          <t xml:space="preserve">SUPIA                         </t>
        </is>
      </c>
      <c r="N59" s="49" t="inlineStr">
        <is>
          <t xml:space="preserve">0                   </t>
        </is>
      </c>
      <c r="O59" s="49" t="inlineStr">
        <is>
          <t>3154702110</t>
        </is>
      </c>
      <c r="P59" s="49" t="inlineStr">
        <is>
          <t>CR 8 31 26</t>
        </is>
      </c>
      <c r="Q59" s="49" t="inlineStr">
        <is>
          <t>felipe01620@gmail.com</t>
        </is>
      </c>
      <c r="R59" s="49" t="inlineStr">
        <is>
          <t>COORDINADOR JUNIOR AMBIENTAL</t>
        </is>
      </c>
      <c r="S59" s="108" t="n">
        <v>91.66666600000001</v>
      </c>
      <c r="T59" s="108" t="n">
        <v>0</v>
      </c>
      <c r="U59" s="108" t="n">
        <v>220</v>
      </c>
      <c r="V59" s="49" t="inlineStr">
        <is>
          <t>CONSIG. CTA AHORROS</t>
        </is>
      </c>
      <c r="W59" s="49" t="inlineStr">
        <is>
          <t xml:space="preserve">BANCO DAVIVIENDA S.A.         </t>
        </is>
      </c>
      <c r="X59" s="49" t="inlineStr">
        <is>
          <t xml:space="preserve">00550488440961198        </t>
        </is>
      </c>
      <c r="Y59" s="49" t="inlineStr">
        <is>
          <t xml:space="preserve">NO APLICA                     </t>
        </is>
      </c>
      <c r="Z59" s="49" t="inlineStr">
        <is>
          <t>CM0204-ESG</t>
        </is>
      </c>
      <c r="AA59" s="49" t="inlineStr">
        <is>
          <t>CM0204-ESGHSE</t>
        </is>
      </c>
      <c r="AB59" s="49" t="inlineStr">
        <is>
          <t xml:space="preserve">01 </t>
        </is>
      </c>
      <c r="AC59" s="49" t="inlineStr">
        <is>
          <t xml:space="preserve">                </t>
        </is>
      </c>
      <c r="AD59" s="49" t="inlineStr">
        <is>
          <t>LEY 50</t>
        </is>
      </c>
      <c r="AE59" s="49" t="inlineStr">
        <is>
          <t>No</t>
        </is>
      </c>
      <c r="AF59" s="49" t="inlineStr">
        <is>
          <t>Normal</t>
        </is>
      </c>
      <c r="AG59" s="49" t="n"/>
      <c r="AH59" s="49" t="inlineStr">
        <is>
          <t>Si</t>
        </is>
      </c>
      <c r="AI59" s="49" t="inlineStr">
        <is>
          <t xml:space="preserve">Normal              </t>
        </is>
      </c>
      <c r="AJ59" s="49" t="inlineStr">
        <is>
          <t xml:space="preserve">Quincenal                     </t>
        </is>
      </c>
      <c r="AK59" s="49" t="inlineStr">
        <is>
          <t>NO</t>
        </is>
      </c>
      <c r="AL59" s="49" t="inlineStr">
        <is>
          <t>NO</t>
        </is>
      </c>
      <c r="AM59" s="49" t="inlineStr">
        <is>
          <t>17/09/2024</t>
        </is>
      </c>
      <c r="AN59" s="49" t="n"/>
      <c r="AO59" s="49" t="n"/>
      <c r="AP59" s="49" t="inlineStr">
        <is>
          <t xml:space="preserve">NO APLICA                </t>
        </is>
      </c>
      <c r="AQ59" s="49" t="n">
        <v>149</v>
      </c>
      <c r="AR59" s="49" t="inlineStr">
        <is>
          <t>01</t>
        </is>
      </c>
      <c r="AS59" s="49" t="n">
        <v>1</v>
      </c>
      <c r="AT59" s="49" t="inlineStr">
        <is>
          <t>No</t>
        </is>
      </c>
      <c r="AU59" s="49" t="n">
        <v>0</v>
      </c>
      <c r="AV59" s="108" t="n">
        <v>0</v>
      </c>
      <c r="AW59" s="108" t="n">
        <v>0</v>
      </c>
      <c r="AX59" s="108" t="n">
        <v>0</v>
      </c>
      <c r="AY59" s="49" t="inlineStr">
        <is>
          <t>No</t>
        </is>
      </c>
      <c r="AZ59" s="49" t="n">
        <v>81000</v>
      </c>
      <c r="BA59" s="49" t="inlineStr">
        <is>
          <t>NUEVA E.P.S</t>
        </is>
      </c>
      <c r="BB59" s="49" t="inlineStr">
        <is>
          <t>PROTECCION A.F.P</t>
        </is>
      </c>
      <c r="BC59" s="49" t="inlineStr">
        <is>
          <t>CCF DE CALDAS</t>
        </is>
      </c>
      <c r="BD59" s="49" t="inlineStr">
        <is>
          <t>RIESGOS PROFESIONALES COLMENA S.A.</t>
        </is>
      </c>
      <c r="BE59" s="49" t="inlineStr">
        <is>
          <t>PORVENIR CESANTIAS</t>
        </is>
      </c>
      <c r="BF59" s="49" t="n">
        <v>6.96</v>
      </c>
      <c r="BG59" s="49" t="n">
        <v>220</v>
      </c>
      <c r="BH59" s="49" t="n">
        <v>15</v>
      </c>
      <c r="BI59" s="49" t="inlineStr">
        <is>
          <t xml:space="preserve">0           </t>
        </is>
      </c>
      <c r="BJ59" s="49" t="inlineStr">
        <is>
          <t xml:space="preserve">NO APLICA                               </t>
        </is>
      </c>
      <c r="BK59" s="49" t="inlineStr">
        <is>
          <t>02</t>
        </is>
      </c>
      <c r="BL59" s="49" t="inlineStr">
        <is>
          <t xml:space="preserve">Caldas                                  </t>
        </is>
      </c>
      <c r="BM59" s="49" t="inlineStr">
        <is>
          <t>02</t>
        </is>
      </c>
      <c r="BN59" s="49" t="inlineStr">
        <is>
          <t xml:space="preserve">Supia                                   </t>
        </is>
      </c>
      <c r="BO59" s="49" t="inlineStr">
        <is>
          <t>0</t>
        </is>
      </c>
      <c r="BP59" s="49" t="inlineStr">
        <is>
          <t>NO APLICA</t>
        </is>
      </c>
      <c r="BQ59" s="49" t="inlineStr">
        <is>
          <t>0</t>
        </is>
      </c>
      <c r="BR59" s="49" t="inlineStr">
        <is>
          <t>NO APLICA</t>
        </is>
      </c>
      <c r="BS59" s="49" t="inlineStr">
        <is>
          <t>0</t>
        </is>
      </c>
      <c r="BT59" s="49" t="inlineStr">
        <is>
          <t>NO APLICA</t>
        </is>
      </c>
      <c r="BU59" s="49" t="inlineStr">
        <is>
          <t>0</t>
        </is>
      </c>
      <c r="BV59" s="49" t="inlineStr">
        <is>
          <t>NO APLICA</t>
        </is>
      </c>
      <c r="BW59" s="49" t="inlineStr">
        <is>
          <t>No</t>
        </is>
      </c>
      <c r="BX59" s="49" t="inlineStr">
        <is>
          <t xml:space="preserve">No Aplica                     </t>
        </is>
      </c>
    </row>
    <row r="60" ht="22.5" customHeight="1">
      <c r="A60" s="49" t="n">
        <v>1060596650</v>
      </c>
      <c r="B60" s="49" t="inlineStr">
        <is>
          <t>027</t>
        </is>
      </c>
      <c r="C60" s="49" t="n">
        <v>1060596650</v>
      </c>
      <c r="D60" s="49" t="inlineStr">
        <is>
          <t>CC</t>
        </is>
      </c>
      <c r="E60" s="49" t="inlineStr">
        <is>
          <t>ALARCON TEJADA JUAN PABLO</t>
        </is>
      </c>
      <c r="F60" s="49" t="inlineStr">
        <is>
          <t>M</t>
        </is>
      </c>
      <c r="G60" s="49" t="inlineStr">
        <is>
          <t xml:space="preserve">O  </t>
        </is>
      </c>
      <c r="H60" s="49" t="inlineStr">
        <is>
          <t>+</t>
        </is>
      </c>
      <c r="I60" s="49" t="inlineStr">
        <is>
          <t>SOLTERO</t>
        </is>
      </c>
      <c r="J60" s="49" t="inlineStr">
        <is>
          <t xml:space="preserve">SUPIA                         </t>
        </is>
      </c>
      <c r="K60" s="49" t="n">
        <v>0</v>
      </c>
      <c r="L60" s="49" t="inlineStr">
        <is>
          <t>29/09/1997</t>
        </is>
      </c>
      <c r="M60" s="49" t="inlineStr">
        <is>
          <t xml:space="preserve">SUPIA                         </t>
        </is>
      </c>
      <c r="N60" s="49" t="inlineStr">
        <is>
          <t xml:space="preserve">7819881             </t>
        </is>
      </c>
      <c r="O60" s="49" t="inlineStr">
        <is>
          <t>3017819881</t>
        </is>
      </c>
      <c r="P60" s="49" t="inlineStr">
        <is>
          <t>VEREDA LA TORRE</t>
        </is>
      </c>
      <c r="Q60" s="49" t="inlineStr">
        <is>
          <t>juanpablo.alarcontejada@gmail.com</t>
        </is>
      </c>
      <c r="R60" s="49" t="inlineStr">
        <is>
          <t>ANALISTA ADMINISTRATIVO</t>
        </is>
      </c>
      <c r="S60" s="108" t="n">
        <v>91.66666600000001</v>
      </c>
      <c r="T60" s="108" t="n">
        <v>0</v>
      </c>
      <c r="U60" s="108" t="n">
        <v>220</v>
      </c>
      <c r="V60" s="49" t="inlineStr">
        <is>
          <t>CONSIG. CTA AHORROS</t>
        </is>
      </c>
      <c r="W60" s="49" t="inlineStr">
        <is>
          <t xml:space="preserve">BANCO DAVIVIENDA S.A.         </t>
        </is>
      </c>
      <c r="X60" s="49" t="inlineStr">
        <is>
          <t xml:space="preserve">0550488430438140         </t>
        </is>
      </c>
      <c r="Y60" s="49" t="inlineStr">
        <is>
          <t xml:space="preserve">NO APLICA                     </t>
        </is>
      </c>
      <c r="Z60" s="49" t="inlineStr">
        <is>
          <t>CM0100-EXP</t>
        </is>
      </c>
      <c r="AA60" s="49" t="inlineStr">
        <is>
          <t>CM0100-EXP</t>
        </is>
      </c>
      <c r="AB60" s="49" t="inlineStr">
        <is>
          <t xml:space="preserve">01 </t>
        </is>
      </c>
      <c r="AC60" s="49" t="inlineStr">
        <is>
          <t xml:space="preserve">0               </t>
        </is>
      </c>
      <c r="AD60" s="49" t="inlineStr">
        <is>
          <t>LEY 50</t>
        </is>
      </c>
      <c r="AE60" s="49" t="inlineStr">
        <is>
          <t>Si</t>
        </is>
      </c>
      <c r="AF60" s="49" t="inlineStr">
        <is>
          <t>Normal</t>
        </is>
      </c>
      <c r="AG60" s="49" t="n"/>
      <c r="AH60" s="49" t="inlineStr">
        <is>
          <t>Si</t>
        </is>
      </c>
      <c r="AI60" s="49" t="inlineStr">
        <is>
          <t xml:space="preserve">Normal              </t>
        </is>
      </c>
      <c r="AJ60" s="49" t="inlineStr">
        <is>
          <t xml:space="preserve">Quincenal                     </t>
        </is>
      </c>
      <c r="AK60" s="49" t="inlineStr">
        <is>
          <t>NO</t>
        </is>
      </c>
      <c r="AL60" s="49" t="inlineStr">
        <is>
          <t>NO</t>
        </is>
      </c>
      <c r="AM60" s="49" t="inlineStr">
        <is>
          <t>25/05/2022</t>
        </is>
      </c>
      <c r="AN60" s="49" t="n"/>
      <c r="AO60" s="49" t="n"/>
      <c r="AP60" s="49" t="inlineStr">
        <is>
          <t xml:space="preserve">NO APLICA                </t>
        </is>
      </c>
      <c r="AQ60" s="49" t="n">
        <v>24</v>
      </c>
      <c r="AR60" s="49" t="inlineStr">
        <is>
          <t>01</t>
        </is>
      </c>
      <c r="AS60" s="49" t="n">
        <v>1</v>
      </c>
      <c r="AT60" s="49" t="inlineStr">
        <is>
          <t>Si</t>
        </is>
      </c>
      <c r="AU60" s="49" t="n">
        <v>0</v>
      </c>
      <c r="AV60" s="108" t="n">
        <v>0</v>
      </c>
      <c r="AW60" s="108" t="n">
        <v>0</v>
      </c>
      <c r="AX60" s="108" t="n">
        <v>0</v>
      </c>
      <c r="AY60" s="49" t="inlineStr">
        <is>
          <t>No</t>
        </is>
      </c>
      <c r="AZ60" s="49" t="n">
        <v>78218</v>
      </c>
      <c r="BA60" s="49" t="inlineStr">
        <is>
          <t>NUEVA E.P.S</t>
        </is>
      </c>
      <c r="BB60" s="49" t="inlineStr">
        <is>
          <t>PORVENIR A.F.P.</t>
        </is>
      </c>
      <c r="BC60" s="49" t="inlineStr">
        <is>
          <t>CCF DE CALDAS</t>
        </is>
      </c>
      <c r="BD60" s="49" t="inlineStr">
        <is>
          <t>RIESGOS PROFESIONALES COLMENA S.A.</t>
        </is>
      </c>
      <c r="BE60" s="49" t="inlineStr">
        <is>
          <t>PORVENIR CESANTIAS</t>
        </is>
      </c>
      <c r="BF60" s="49" t="n">
        <v>0.522</v>
      </c>
      <c r="BG60" s="49" t="n">
        <v>220</v>
      </c>
      <c r="BH60" s="49" t="n">
        <v>15</v>
      </c>
      <c r="BI60" s="49" t="inlineStr">
        <is>
          <t xml:space="preserve">0           </t>
        </is>
      </c>
      <c r="BJ60" s="49" t="inlineStr">
        <is>
          <t xml:space="preserve">NO APLICA                               </t>
        </is>
      </c>
      <c r="BK60" s="49" t="inlineStr">
        <is>
          <t>02</t>
        </is>
      </c>
      <c r="BL60" s="49" t="inlineStr">
        <is>
          <t xml:space="preserve">Caldas                                  </t>
        </is>
      </c>
      <c r="BM60" s="49" t="inlineStr">
        <is>
          <t>02</t>
        </is>
      </c>
      <c r="BN60" s="49" t="inlineStr">
        <is>
          <t xml:space="preserve">Supia                                   </t>
        </is>
      </c>
      <c r="BO60" s="49" t="inlineStr">
        <is>
          <t>0</t>
        </is>
      </c>
      <c r="BP60" s="49" t="inlineStr">
        <is>
          <t>NO APLICA</t>
        </is>
      </c>
      <c r="BQ60" s="49" t="inlineStr">
        <is>
          <t>0</t>
        </is>
      </c>
      <c r="BR60" s="49" t="inlineStr">
        <is>
          <t>NO APLICA</t>
        </is>
      </c>
      <c r="BS60" s="49" t="inlineStr">
        <is>
          <t>0</t>
        </is>
      </c>
      <c r="BT60" s="49" t="inlineStr">
        <is>
          <t>NO APLICA</t>
        </is>
      </c>
      <c r="BU60" s="49" t="inlineStr">
        <is>
          <t>0</t>
        </is>
      </c>
      <c r="BV60" s="49" t="inlineStr">
        <is>
          <t>NO APLICA</t>
        </is>
      </c>
      <c r="BW60" s="49" t="inlineStr">
        <is>
          <t>No</t>
        </is>
      </c>
      <c r="BX60" s="49" t="inlineStr">
        <is>
          <t xml:space="preserve">No Aplica                     </t>
        </is>
      </c>
    </row>
    <row r="61" ht="22.5" customHeight="1">
      <c r="A61" s="49" t="n">
        <v>1060596935</v>
      </c>
      <c r="B61" s="49" t="inlineStr">
        <is>
          <t>092</t>
        </is>
      </c>
      <c r="C61" s="49" t="n">
        <v>1060596935</v>
      </c>
      <c r="D61" s="49" t="inlineStr">
        <is>
          <t>CC</t>
        </is>
      </c>
      <c r="E61" s="49" t="inlineStr">
        <is>
          <t>SERNA VILLADA VALENTINA</t>
        </is>
      </c>
      <c r="F61" s="49" t="inlineStr">
        <is>
          <t>F</t>
        </is>
      </c>
      <c r="G61" s="49" t="inlineStr">
        <is>
          <t xml:space="preserve">A  </t>
        </is>
      </c>
      <c r="H61" s="49" t="inlineStr">
        <is>
          <t>+</t>
        </is>
      </c>
      <c r="I61" s="49" t="inlineStr">
        <is>
          <t>SOLTERO</t>
        </is>
      </c>
      <c r="J61" s="49" t="inlineStr">
        <is>
          <t xml:space="preserve">SUPIA                         </t>
        </is>
      </c>
      <c r="K61" s="49" t="n">
        <v>0</v>
      </c>
      <c r="L61" s="49" t="inlineStr">
        <is>
          <t>21/03/1998</t>
        </is>
      </c>
      <c r="M61" s="49" t="inlineStr">
        <is>
          <t xml:space="preserve">SUPIA                         </t>
        </is>
      </c>
      <c r="N61" s="49" t="inlineStr">
        <is>
          <t xml:space="preserve">0                   </t>
        </is>
      </c>
      <c r="O61" s="49" t="inlineStr">
        <is>
          <t>3204971451</t>
        </is>
      </c>
      <c r="P61" s="49" t="inlineStr">
        <is>
          <t xml:space="preserve">CL 25 10 48 </t>
        </is>
      </c>
      <c r="Q61" s="49" t="inlineStr">
        <is>
          <t>valentina.serna@utp.edu.co</t>
        </is>
      </c>
      <c r="R61" s="49" t="inlineStr">
        <is>
          <t>ANALISTA DE PLANEAMIENTO TERRITORIAL</t>
        </is>
      </c>
      <c r="S61" s="108" t="n">
        <v>91.66666600000001</v>
      </c>
      <c r="T61" s="108" t="n">
        <v>0</v>
      </c>
      <c r="U61" s="108" t="n">
        <v>220</v>
      </c>
      <c r="V61" s="49" t="inlineStr">
        <is>
          <t>CONSIG. CTA AHORROS</t>
        </is>
      </c>
      <c r="W61" s="49" t="inlineStr">
        <is>
          <t xml:space="preserve">BANCO DAVIVIENDA S.A.         </t>
        </is>
      </c>
      <c r="X61" s="49" t="inlineStr">
        <is>
          <t xml:space="preserve">0550488446736206         </t>
        </is>
      </c>
      <c r="Y61" s="49" t="inlineStr">
        <is>
          <t xml:space="preserve">NO APLICA                     </t>
        </is>
      </c>
      <c r="Z61" s="49" t="inlineStr">
        <is>
          <t>CM0205-ESG</t>
        </is>
      </c>
      <c r="AA61" s="49" t="inlineStr">
        <is>
          <t>CM0205-ESGTPL</t>
        </is>
      </c>
      <c r="AB61" s="49" t="inlineStr">
        <is>
          <t xml:space="preserve">01 </t>
        </is>
      </c>
      <c r="AC61" s="49" t="inlineStr">
        <is>
          <t xml:space="preserve">                </t>
        </is>
      </c>
      <c r="AD61" s="49" t="inlineStr">
        <is>
          <t>LEY 50</t>
        </is>
      </c>
      <c r="AE61" s="49" t="inlineStr">
        <is>
          <t>No</t>
        </is>
      </c>
      <c r="AF61" s="49" t="inlineStr">
        <is>
          <t>Normal</t>
        </is>
      </c>
      <c r="AG61" s="49" t="n"/>
      <c r="AH61" s="49" t="inlineStr">
        <is>
          <t>Si</t>
        </is>
      </c>
      <c r="AI61" s="49" t="inlineStr">
        <is>
          <t xml:space="preserve">Normal              </t>
        </is>
      </c>
      <c r="AJ61" s="49" t="inlineStr">
        <is>
          <t xml:space="preserve">Quincenal                     </t>
        </is>
      </c>
      <c r="AK61" s="49" t="inlineStr">
        <is>
          <t>NO</t>
        </is>
      </c>
      <c r="AL61" s="49" t="inlineStr">
        <is>
          <t>NO</t>
        </is>
      </c>
      <c r="AM61" s="49" t="inlineStr">
        <is>
          <t>15/10/2024</t>
        </is>
      </c>
      <c r="AN61" s="49" t="n"/>
      <c r="AO61" s="49" t="n"/>
      <c r="AP61" s="49" t="inlineStr">
        <is>
          <t xml:space="preserve">NO APLICA                </t>
        </is>
      </c>
      <c r="AQ61" s="49" t="n">
        <v>151</v>
      </c>
      <c r="AR61" s="49" t="inlineStr">
        <is>
          <t>01</t>
        </is>
      </c>
      <c r="AS61" s="49" t="n">
        <v>1</v>
      </c>
      <c r="AT61" s="49" t="inlineStr">
        <is>
          <t>No</t>
        </is>
      </c>
      <c r="AU61" s="49" t="n">
        <v>0</v>
      </c>
      <c r="AV61" s="108" t="n">
        <v>0</v>
      </c>
      <c r="AW61" s="108" t="n">
        <v>0</v>
      </c>
      <c r="AX61" s="108" t="n">
        <v>0</v>
      </c>
      <c r="AY61" s="49" t="inlineStr">
        <is>
          <t>No</t>
        </is>
      </c>
      <c r="AZ61" s="49" t="n">
        <v>70012</v>
      </c>
      <c r="BA61" s="49" t="inlineStr">
        <is>
          <t>NUEVA E.P.S</t>
        </is>
      </c>
      <c r="BB61" s="49" t="inlineStr">
        <is>
          <t>PORVENIR A.F.P.</t>
        </is>
      </c>
      <c r="BC61" s="49" t="inlineStr">
        <is>
          <t>CCF DE CALDAS</t>
        </is>
      </c>
      <c r="BD61" s="49" t="inlineStr">
        <is>
          <t>RIESGOS PROFESIONALES COLMENA S.A.</t>
        </is>
      </c>
      <c r="BE61" s="49" t="inlineStr">
        <is>
          <t>PORVENIR CESANTIAS</t>
        </is>
      </c>
      <c r="BF61" s="49" t="n">
        <v>6.96</v>
      </c>
      <c r="BG61" s="49" t="n">
        <v>220</v>
      </c>
      <c r="BH61" s="49" t="n">
        <v>15</v>
      </c>
      <c r="BI61" s="49" t="inlineStr">
        <is>
          <t xml:space="preserve">0           </t>
        </is>
      </c>
      <c r="BJ61" s="49" t="inlineStr">
        <is>
          <t xml:space="preserve">NO APLICA                               </t>
        </is>
      </c>
      <c r="BK61" s="49" t="inlineStr">
        <is>
          <t>02</t>
        </is>
      </c>
      <c r="BL61" s="49" t="inlineStr">
        <is>
          <t xml:space="preserve">Caldas                                  </t>
        </is>
      </c>
      <c r="BM61" s="49" t="inlineStr">
        <is>
          <t>02</t>
        </is>
      </c>
      <c r="BN61" s="49" t="inlineStr">
        <is>
          <t xml:space="preserve">Supia                                   </t>
        </is>
      </c>
      <c r="BO61" s="49" t="inlineStr">
        <is>
          <t>0</t>
        </is>
      </c>
      <c r="BP61" s="49" t="inlineStr">
        <is>
          <t>NO APLICA</t>
        </is>
      </c>
      <c r="BQ61" s="49" t="inlineStr">
        <is>
          <t>0</t>
        </is>
      </c>
      <c r="BR61" s="49" t="inlineStr">
        <is>
          <t>NO APLICA</t>
        </is>
      </c>
      <c r="BS61" s="49" t="inlineStr">
        <is>
          <t>0</t>
        </is>
      </c>
      <c r="BT61" s="49" t="inlineStr">
        <is>
          <t>NO APLICA</t>
        </is>
      </c>
      <c r="BU61" s="49" t="inlineStr">
        <is>
          <t>0</t>
        </is>
      </c>
      <c r="BV61" s="49" t="inlineStr">
        <is>
          <t>NO APLICA</t>
        </is>
      </c>
      <c r="BW61" s="49" t="inlineStr">
        <is>
          <t>No</t>
        </is>
      </c>
      <c r="BX61" s="49" t="inlineStr">
        <is>
          <t xml:space="preserve">No Aplica                     </t>
        </is>
      </c>
    </row>
    <row r="62" ht="22.5" customHeight="1">
      <c r="A62" s="49" t="n">
        <v>1060596951</v>
      </c>
      <c r="B62" s="49" t="inlineStr">
        <is>
          <t>050</t>
        </is>
      </c>
      <c r="C62" s="49" t="n">
        <v>1060596951</v>
      </c>
      <c r="D62" s="49" t="inlineStr">
        <is>
          <t>CC</t>
        </is>
      </c>
      <c r="E62" s="49" t="inlineStr">
        <is>
          <t>RODRIGUEZ RODRIGUEZ ANLLY PAOLA</t>
        </is>
      </c>
      <c r="F62" s="49" t="inlineStr">
        <is>
          <t>F</t>
        </is>
      </c>
      <c r="G62" s="49" t="inlineStr">
        <is>
          <t xml:space="preserve">O  </t>
        </is>
      </c>
      <c r="H62" s="49" t="inlineStr">
        <is>
          <t>+</t>
        </is>
      </c>
      <c r="I62" s="49" t="inlineStr">
        <is>
          <t>SOLTERO</t>
        </is>
      </c>
      <c r="J62" s="49" t="inlineStr">
        <is>
          <t xml:space="preserve">SUPIA                         </t>
        </is>
      </c>
      <c r="K62" s="49" t="n">
        <v>0</v>
      </c>
      <c r="L62" s="49" t="inlineStr">
        <is>
          <t>29/03/1998</t>
        </is>
      </c>
      <c r="M62" s="49" t="inlineStr">
        <is>
          <t xml:space="preserve">SUPIA                         </t>
        </is>
      </c>
      <c r="N62" s="49" t="inlineStr">
        <is>
          <t xml:space="preserve">NA                  </t>
        </is>
      </c>
      <c r="O62" s="49" t="inlineStr">
        <is>
          <t>3235434147</t>
        </is>
      </c>
      <c r="P62" s="49" t="inlineStr">
        <is>
          <t>VDA BAJO SAN FRANCISCO</t>
        </is>
      </c>
      <c r="Q62" s="49" t="inlineStr">
        <is>
          <t>laroca0920@gmail.com</t>
        </is>
      </c>
      <c r="R62" s="49" t="inlineStr">
        <is>
          <t>AUXILIAR LIDER DE EXPLORACION</t>
        </is>
      </c>
      <c r="S62" s="108" t="n">
        <v>91.66666600000001</v>
      </c>
      <c r="T62" s="108" t="n">
        <v>0</v>
      </c>
      <c r="U62" s="108" t="n">
        <v>220</v>
      </c>
      <c r="V62" s="49" t="inlineStr">
        <is>
          <t>CONSIG. CTA AHORROS</t>
        </is>
      </c>
      <c r="W62" s="49" t="inlineStr">
        <is>
          <t xml:space="preserve">BANCO DAVIVIENDA S.A.         </t>
        </is>
      </c>
      <c r="X62" s="49" t="inlineStr">
        <is>
          <t xml:space="preserve">0550488428916925         </t>
        </is>
      </c>
      <c r="Y62" s="49" t="inlineStr">
        <is>
          <t xml:space="preserve">NO APLICA                     </t>
        </is>
      </c>
      <c r="Z62" s="49" t="inlineStr">
        <is>
          <t>CM0100-EXP</t>
        </is>
      </c>
      <c r="AA62" s="49" t="inlineStr">
        <is>
          <t>CM0100-EXP</t>
        </is>
      </c>
      <c r="AB62" s="49" t="inlineStr">
        <is>
          <t xml:space="preserve">01 </t>
        </is>
      </c>
      <c r="AC62" s="49" t="inlineStr">
        <is>
          <t xml:space="preserve">                </t>
        </is>
      </c>
      <c r="AD62" s="49" t="inlineStr">
        <is>
          <t>LEY 50</t>
        </is>
      </c>
      <c r="AE62" s="49" t="inlineStr">
        <is>
          <t>Si</t>
        </is>
      </c>
      <c r="AF62" s="49" t="inlineStr">
        <is>
          <t>Normal</t>
        </is>
      </c>
      <c r="AG62" s="49" t="n"/>
      <c r="AH62" s="49" t="inlineStr">
        <is>
          <t>Si</t>
        </is>
      </c>
      <c r="AI62" s="49" t="inlineStr">
        <is>
          <t xml:space="preserve">Normal              </t>
        </is>
      </c>
      <c r="AJ62" s="49" t="inlineStr">
        <is>
          <t xml:space="preserve">Quincenal                     </t>
        </is>
      </c>
      <c r="AK62" s="49" t="inlineStr">
        <is>
          <t>NO</t>
        </is>
      </c>
      <c r="AL62" s="49" t="inlineStr">
        <is>
          <t>NO</t>
        </is>
      </c>
      <c r="AM62" s="49" t="inlineStr">
        <is>
          <t>02/05/2023</t>
        </is>
      </c>
      <c r="AN62" s="49" t="n"/>
      <c r="AO62" s="49" t="n"/>
      <c r="AP62" s="49" t="inlineStr">
        <is>
          <t xml:space="preserve">NO APLICA                </t>
        </is>
      </c>
      <c r="AQ62" s="49" t="n">
        <v>91</v>
      </c>
      <c r="AR62" s="49" t="inlineStr">
        <is>
          <t>01</t>
        </is>
      </c>
      <c r="AS62" s="49" t="n">
        <v>1</v>
      </c>
      <c r="AT62" s="49" t="inlineStr">
        <is>
          <t>Si</t>
        </is>
      </c>
      <c r="AU62" s="49" t="n">
        <v>0</v>
      </c>
      <c r="AV62" s="108" t="n">
        <v>0</v>
      </c>
      <c r="AW62" s="108" t="n">
        <v>0</v>
      </c>
      <c r="AX62" s="108" t="n">
        <v>0</v>
      </c>
      <c r="AY62" s="49" t="inlineStr">
        <is>
          <t>No</t>
        </is>
      </c>
      <c r="AZ62" s="49" t="n">
        <v>91638</v>
      </c>
      <c r="BA62" s="49" t="inlineStr">
        <is>
          <t>NUEVA E.P.S</t>
        </is>
      </c>
      <c r="BB62" s="49" t="inlineStr">
        <is>
          <t>PORVENIR A.F.P.</t>
        </is>
      </c>
      <c r="BC62" s="49" t="inlineStr">
        <is>
          <t>CCF DE CALDAS</t>
        </is>
      </c>
      <c r="BD62" s="49" t="inlineStr">
        <is>
          <t>RIESGOS PROFESIONALES COLMENA S.A.</t>
        </is>
      </c>
      <c r="BE62" s="49" t="inlineStr">
        <is>
          <t>PORVENIR CESANTIAS</t>
        </is>
      </c>
      <c r="BF62" s="49" t="n">
        <v>6.96</v>
      </c>
      <c r="BG62" s="49" t="n">
        <v>220</v>
      </c>
      <c r="BH62" s="49" t="n">
        <v>15</v>
      </c>
      <c r="BI62" s="49" t="inlineStr">
        <is>
          <t xml:space="preserve">0           </t>
        </is>
      </c>
      <c r="BJ62" s="49" t="inlineStr">
        <is>
          <t xml:space="preserve">NO APLICA                               </t>
        </is>
      </c>
      <c r="BK62" s="49" t="inlineStr">
        <is>
          <t>02</t>
        </is>
      </c>
      <c r="BL62" s="49" t="inlineStr">
        <is>
          <t xml:space="preserve">Caldas                                  </t>
        </is>
      </c>
      <c r="BM62" s="49" t="inlineStr">
        <is>
          <t>02</t>
        </is>
      </c>
      <c r="BN62" s="49" t="inlineStr">
        <is>
          <t xml:space="preserve">Supia                                   </t>
        </is>
      </c>
      <c r="BO62" s="49" t="inlineStr">
        <is>
          <t>0</t>
        </is>
      </c>
      <c r="BP62" s="49" t="inlineStr">
        <is>
          <t>NO APLICA</t>
        </is>
      </c>
      <c r="BQ62" s="49" t="inlineStr">
        <is>
          <t>0</t>
        </is>
      </c>
      <c r="BR62" s="49" t="inlineStr">
        <is>
          <t>NO APLICA</t>
        </is>
      </c>
      <c r="BS62" s="49" t="inlineStr">
        <is>
          <t>0</t>
        </is>
      </c>
      <c r="BT62" s="49" t="inlineStr">
        <is>
          <t>NO APLICA</t>
        </is>
      </c>
      <c r="BU62" s="49" t="inlineStr">
        <is>
          <t>0</t>
        </is>
      </c>
      <c r="BV62" s="49" t="inlineStr">
        <is>
          <t>NO APLICA</t>
        </is>
      </c>
      <c r="BW62" s="49" t="inlineStr">
        <is>
          <t>No</t>
        </is>
      </c>
      <c r="BX62" s="49" t="inlineStr">
        <is>
          <t xml:space="preserve">No Aplica                     </t>
        </is>
      </c>
    </row>
    <row r="63" ht="22.5" customHeight="1">
      <c r="A63" s="49" t="n">
        <v>1060597642</v>
      </c>
      <c r="B63" s="49" t="inlineStr">
        <is>
          <t xml:space="preserve"> 122</t>
        </is>
      </c>
      <c r="C63" s="49" t="n">
        <v>1060597642</v>
      </c>
      <c r="D63" s="49" t="inlineStr">
        <is>
          <t>CC</t>
        </is>
      </c>
      <c r="E63" s="49" t="inlineStr">
        <is>
          <t>GAÑAN BUENO YONIER ESTIVEN</t>
        </is>
      </c>
      <c r="F63" s="49" t="inlineStr">
        <is>
          <t>M</t>
        </is>
      </c>
      <c r="G63" s="49" t="inlineStr">
        <is>
          <t xml:space="preserve">A  </t>
        </is>
      </c>
      <c r="H63" s="49" t="inlineStr">
        <is>
          <t>+</t>
        </is>
      </c>
      <c r="I63" s="49" t="inlineStr">
        <is>
          <t>UNION LIBRE</t>
        </is>
      </c>
      <c r="J63" s="49" t="inlineStr">
        <is>
          <t xml:space="preserve">SUPIA                         </t>
        </is>
      </c>
      <c r="K63" s="49" t="n">
        <v>0</v>
      </c>
      <c r="L63" s="49" t="inlineStr">
        <is>
          <t>23/03/1999</t>
        </is>
      </c>
      <c r="M63" s="49" t="inlineStr">
        <is>
          <t xml:space="preserve">SUPIA                         </t>
        </is>
      </c>
      <c r="N63" s="49" t="inlineStr">
        <is>
          <t xml:space="preserve">0000                </t>
        </is>
      </c>
      <c r="O63" s="49" t="inlineStr">
        <is>
          <t>3023302428</t>
        </is>
      </c>
      <c r="P63" s="49" t="inlineStr">
        <is>
          <t xml:space="preserve">CR 10  31 60 </t>
        </is>
      </c>
      <c r="Q63" s="49" t="inlineStr">
        <is>
          <t>yonierestiven716@gmail.com</t>
        </is>
      </c>
      <c r="R63" s="49" t="inlineStr">
        <is>
          <t>AUXILIAR DE EXPLORACIÓN</t>
        </is>
      </c>
      <c r="S63" s="108" t="n">
        <v>91.66666600000001</v>
      </c>
      <c r="T63" s="108" t="n">
        <v>0</v>
      </c>
      <c r="U63" s="108" t="n">
        <v>220</v>
      </c>
      <c r="V63" s="49" t="inlineStr">
        <is>
          <t>CONSIG. CTA AHORROS</t>
        </is>
      </c>
      <c r="W63" s="49" t="inlineStr">
        <is>
          <t xml:space="preserve">BANCO DAVIVIENDA S.A.         </t>
        </is>
      </c>
      <c r="X63" s="49" t="inlineStr">
        <is>
          <t xml:space="preserve">0550488446560275         </t>
        </is>
      </c>
      <c r="Y63" s="49" t="inlineStr">
        <is>
          <t xml:space="preserve">NO APLICA                     </t>
        </is>
      </c>
      <c r="Z63" s="49" t="inlineStr">
        <is>
          <t>CM0100-EXP</t>
        </is>
      </c>
      <c r="AA63" s="49" t="inlineStr">
        <is>
          <t>CM0100-EXP</t>
        </is>
      </c>
      <c r="AB63" s="49" t="inlineStr">
        <is>
          <t xml:space="preserve">01 </t>
        </is>
      </c>
      <c r="AC63" s="49" t="inlineStr">
        <is>
          <t xml:space="preserve">                </t>
        </is>
      </c>
      <c r="AD63" s="49" t="inlineStr">
        <is>
          <t>LEY 50</t>
        </is>
      </c>
      <c r="AE63" s="49" t="inlineStr">
        <is>
          <t>No</t>
        </is>
      </c>
      <c r="AF63" s="49" t="inlineStr">
        <is>
          <t>Normal</t>
        </is>
      </c>
      <c r="AG63" s="49" t="n"/>
      <c r="AH63" s="49" t="inlineStr">
        <is>
          <t>Si</t>
        </is>
      </c>
      <c r="AI63" s="49" t="inlineStr">
        <is>
          <t xml:space="preserve">Normal              </t>
        </is>
      </c>
      <c r="AJ63" s="49" t="inlineStr">
        <is>
          <t xml:space="preserve">Quincenal                     </t>
        </is>
      </c>
      <c r="AK63" s="49" t="inlineStr">
        <is>
          <t>NO</t>
        </is>
      </c>
      <c r="AL63" s="49" t="inlineStr">
        <is>
          <t>NO</t>
        </is>
      </c>
      <c r="AM63" s="49" t="inlineStr">
        <is>
          <t>03/06/2025</t>
        </is>
      </c>
      <c r="AN63" s="49" t="n"/>
      <c r="AO63" s="49" t="n"/>
      <c r="AP63" s="49" t="inlineStr">
        <is>
          <t xml:space="preserve">NO APLICA                </t>
        </is>
      </c>
      <c r="AQ63" s="49" t="n">
        <v>179</v>
      </c>
      <c r="AR63" s="49" t="inlineStr">
        <is>
          <t>01</t>
        </is>
      </c>
      <c r="AS63" s="49" t="n">
        <v>1</v>
      </c>
      <c r="AT63" s="49" t="inlineStr">
        <is>
          <t>No</t>
        </is>
      </c>
      <c r="AU63" s="49" t="n">
        <v>0</v>
      </c>
      <c r="AV63" s="108" t="n">
        <v>0</v>
      </c>
      <c r="AW63" s="108" t="n">
        <v>0</v>
      </c>
      <c r="AX63" s="108" t="n">
        <v>0</v>
      </c>
      <c r="AY63" s="49" t="inlineStr">
        <is>
          <t>No</t>
        </is>
      </c>
      <c r="AZ63" s="49" t="n">
        <v>0</v>
      </c>
      <c r="BA63" s="49" t="inlineStr">
        <is>
          <t>NUEVA E.P.S</t>
        </is>
      </c>
      <c r="BB63" s="49" t="inlineStr">
        <is>
          <t>COLPENSIONES - I.S.S. PENSION</t>
        </is>
      </c>
      <c r="BC63" s="49" t="inlineStr">
        <is>
          <t>CCF DE CALDAS</t>
        </is>
      </c>
      <c r="BD63" s="49" t="inlineStr">
        <is>
          <t>RIESGOS PROFESIONALES COLMENA S.A.</t>
        </is>
      </c>
      <c r="BE63" s="49" t="inlineStr">
        <is>
          <t>PROTECCION CESANTIAS</t>
        </is>
      </c>
      <c r="BF63" s="49" t="n">
        <v>6.96</v>
      </c>
      <c r="BG63" s="49" t="n">
        <v>220</v>
      </c>
      <c r="BH63" s="49" t="n">
        <v>15</v>
      </c>
      <c r="BI63" s="49" t="inlineStr">
        <is>
          <t xml:space="preserve">0           </t>
        </is>
      </c>
      <c r="BJ63" s="49" t="inlineStr">
        <is>
          <t xml:space="preserve">NO APLICA                               </t>
        </is>
      </c>
      <c r="BK63" s="49" t="inlineStr">
        <is>
          <t>02</t>
        </is>
      </c>
      <c r="BL63" s="49" t="inlineStr">
        <is>
          <t xml:space="preserve">Caldas                                  </t>
        </is>
      </c>
      <c r="BM63" s="49" t="inlineStr">
        <is>
          <t>02</t>
        </is>
      </c>
      <c r="BN63" s="49" t="inlineStr">
        <is>
          <t xml:space="preserve">Supia                                   </t>
        </is>
      </c>
      <c r="BO63" s="49" t="inlineStr">
        <is>
          <t>0</t>
        </is>
      </c>
      <c r="BP63" s="49" t="inlineStr">
        <is>
          <t>NO APLICA</t>
        </is>
      </c>
      <c r="BQ63" s="49" t="inlineStr">
        <is>
          <t>0</t>
        </is>
      </c>
      <c r="BR63" s="49" t="inlineStr">
        <is>
          <t>NO APLICA</t>
        </is>
      </c>
      <c r="BS63" s="49" t="inlineStr">
        <is>
          <t>0</t>
        </is>
      </c>
      <c r="BT63" s="49" t="inlineStr">
        <is>
          <t>NO APLICA</t>
        </is>
      </c>
      <c r="BU63" s="49" t="inlineStr">
        <is>
          <t>0</t>
        </is>
      </c>
      <c r="BV63" s="49" t="inlineStr">
        <is>
          <t>NO APLICA</t>
        </is>
      </c>
      <c r="BW63" s="49" t="inlineStr">
        <is>
          <t>No</t>
        </is>
      </c>
      <c r="BX63" s="49" t="inlineStr">
        <is>
          <t xml:space="preserve">No Aplica                     </t>
        </is>
      </c>
    </row>
    <row r="64" ht="15" customHeight="1">
      <c r="A64" s="49" t="n">
        <v>1060597775</v>
      </c>
      <c r="B64" s="49" t="inlineStr">
        <is>
          <t>164</t>
        </is>
      </c>
      <c r="C64" s="49" t="n">
        <v>1060597775</v>
      </c>
      <c r="D64" s="49" t="inlineStr">
        <is>
          <t>CC</t>
        </is>
      </c>
      <c r="E64" s="49" t="inlineStr">
        <is>
          <t>FRANCO LLANES JUAN DIEGO</t>
        </is>
      </c>
      <c r="F64" s="49" t="inlineStr">
        <is>
          <t>M</t>
        </is>
      </c>
      <c r="G64" s="49" t="inlineStr">
        <is>
          <t xml:space="preserve">A  </t>
        </is>
      </c>
      <c r="H64" s="49" t="inlineStr">
        <is>
          <t>+</t>
        </is>
      </c>
      <c r="I64" s="49" t="inlineStr">
        <is>
          <t>SOLTERO</t>
        </is>
      </c>
      <c r="J64" s="49" t="inlineStr">
        <is>
          <t xml:space="preserve">SUPIA                         </t>
        </is>
      </c>
      <c r="K64" s="49" t="n">
        <v>0</v>
      </c>
      <c r="L64" s="49" t="inlineStr">
        <is>
          <t>04/06/1999</t>
        </is>
      </c>
      <c r="M64" s="49" t="inlineStr">
        <is>
          <t xml:space="preserve">SUPIA                         </t>
        </is>
      </c>
      <c r="N64" s="49" t="inlineStr">
        <is>
          <t xml:space="preserve">0000                </t>
        </is>
      </c>
      <c r="O64" s="49" t="inlineStr">
        <is>
          <t>3206901841</t>
        </is>
      </c>
      <c r="P64" s="49" t="inlineStr">
        <is>
          <t>Barrio San Lorenzo CS 54</t>
        </is>
      </c>
      <c r="Q64" s="49" t="inlineStr">
        <is>
          <t>frankzgaus137@gmail.com</t>
        </is>
      </c>
      <c r="R64" s="49" t="inlineStr">
        <is>
          <t>GEOLOGO JUNIOR</t>
        </is>
      </c>
      <c r="S64" s="108" t="n">
        <v>91.66666600000001</v>
      </c>
      <c r="T64" s="108" t="n">
        <v>0</v>
      </c>
      <c r="U64" s="108" t="n">
        <v>220</v>
      </c>
      <c r="V64" s="49" t="inlineStr">
        <is>
          <t>CONSIG. CTA AHORROS</t>
        </is>
      </c>
      <c r="W64" s="49" t="inlineStr">
        <is>
          <t xml:space="preserve">BANCOLOMBIA S.A.              </t>
        </is>
      </c>
      <c r="X64" s="49" t="inlineStr">
        <is>
          <t xml:space="preserve">36898364806              </t>
        </is>
      </c>
      <c r="Y64" s="49" t="inlineStr">
        <is>
          <t xml:space="preserve">NO APLICA                     </t>
        </is>
      </c>
      <c r="Z64" s="49" t="inlineStr">
        <is>
          <t>CM0100-EXP</t>
        </is>
      </c>
      <c r="AA64" s="49" t="inlineStr">
        <is>
          <t>CM0100-EXP</t>
        </is>
      </c>
      <c r="AB64" s="49" t="inlineStr">
        <is>
          <t xml:space="preserve">01 </t>
        </is>
      </c>
      <c r="AC64" s="49" t="inlineStr">
        <is>
          <t xml:space="preserve">                </t>
        </is>
      </c>
      <c r="AD64" s="49" t="inlineStr">
        <is>
          <t>LEY 50</t>
        </is>
      </c>
      <c r="AE64" s="49" t="inlineStr">
        <is>
          <t>No</t>
        </is>
      </c>
      <c r="AF64" s="49" t="inlineStr">
        <is>
          <t>Normal</t>
        </is>
      </c>
      <c r="AG64" s="49" t="n"/>
      <c r="AH64" s="49" t="inlineStr">
        <is>
          <t>Si</t>
        </is>
      </c>
      <c r="AI64" s="49" t="inlineStr">
        <is>
          <t xml:space="preserve">Normal              </t>
        </is>
      </c>
      <c r="AJ64" s="49" t="inlineStr">
        <is>
          <t xml:space="preserve">Quincenal                     </t>
        </is>
      </c>
      <c r="AK64" s="49" t="inlineStr">
        <is>
          <t>NO</t>
        </is>
      </c>
      <c r="AL64" s="49" t="inlineStr">
        <is>
          <t>NO</t>
        </is>
      </c>
      <c r="AM64" s="49" t="inlineStr">
        <is>
          <t>12/02/2026</t>
        </is>
      </c>
      <c r="AN64" s="49" t="n"/>
      <c r="AO64" s="49" t="n"/>
      <c r="AP64" s="49" t="inlineStr">
        <is>
          <t xml:space="preserve">NO APLICA                </t>
        </is>
      </c>
      <c r="AQ64" s="49" t="n">
        <v>224</v>
      </c>
      <c r="AR64" s="49" t="inlineStr">
        <is>
          <t>01</t>
        </is>
      </c>
      <c r="AS64" s="49" t="n">
        <v>1</v>
      </c>
      <c r="AT64" s="49" t="inlineStr">
        <is>
          <t>No</t>
        </is>
      </c>
      <c r="AU64" s="49" t="n">
        <v>0</v>
      </c>
      <c r="AV64" s="108" t="n">
        <v>0</v>
      </c>
      <c r="AW64" s="108" t="n">
        <v>0</v>
      </c>
      <c r="AX64" s="108" t="n">
        <v>0</v>
      </c>
      <c r="AY64" s="49" t="inlineStr">
        <is>
          <t>No</t>
        </is>
      </c>
      <c r="AZ64" s="49" t="n">
        <v>0</v>
      </c>
      <c r="BA64" s="49" t="inlineStr">
        <is>
          <t>NUEVA E.P.S</t>
        </is>
      </c>
      <c r="BB64" s="49" t="inlineStr">
        <is>
          <t>PROTECCION A.F.P</t>
        </is>
      </c>
      <c r="BC64" s="49" t="inlineStr">
        <is>
          <t>CCF DE CALDAS</t>
        </is>
      </c>
      <c r="BD64" s="49" t="inlineStr">
        <is>
          <t>RIESGOS PROFESIONALES COLMENA S.A.</t>
        </is>
      </c>
      <c r="BE64" s="49" t="inlineStr">
        <is>
          <t>PROTECCION CESANTIAS</t>
        </is>
      </c>
      <c r="BF64" s="49" t="n">
        <v>6.96</v>
      </c>
      <c r="BG64" s="49" t="n">
        <v>220</v>
      </c>
      <c r="BH64" s="49" t="n">
        <v>15</v>
      </c>
      <c r="BI64" s="49" t="inlineStr">
        <is>
          <t xml:space="preserve">0           </t>
        </is>
      </c>
      <c r="BJ64" s="49" t="inlineStr">
        <is>
          <t xml:space="preserve">NO APLICA                               </t>
        </is>
      </c>
      <c r="BK64" s="49" t="inlineStr">
        <is>
          <t>02</t>
        </is>
      </c>
      <c r="BL64" s="49" t="inlineStr">
        <is>
          <t xml:space="preserve">Caldas                                  </t>
        </is>
      </c>
      <c r="BM64" s="49" t="inlineStr">
        <is>
          <t>02</t>
        </is>
      </c>
      <c r="BN64" s="49" t="inlineStr">
        <is>
          <t xml:space="preserve">Supia                                   </t>
        </is>
      </c>
      <c r="BO64" s="49" t="inlineStr">
        <is>
          <t>0</t>
        </is>
      </c>
      <c r="BP64" s="49" t="inlineStr">
        <is>
          <t>NO APLICA</t>
        </is>
      </c>
      <c r="BQ64" s="49" t="inlineStr">
        <is>
          <t>0</t>
        </is>
      </c>
      <c r="BR64" s="49" t="inlineStr">
        <is>
          <t>NO APLICA</t>
        </is>
      </c>
      <c r="BS64" s="49" t="inlineStr">
        <is>
          <t>0</t>
        </is>
      </c>
      <c r="BT64" s="49" t="inlineStr">
        <is>
          <t>NO APLICA</t>
        </is>
      </c>
      <c r="BU64" s="49" t="inlineStr">
        <is>
          <t>0</t>
        </is>
      </c>
      <c r="BV64" s="49" t="inlineStr">
        <is>
          <t>NO APLICA</t>
        </is>
      </c>
      <c r="BW64" s="49" t="inlineStr">
        <is>
          <t>No</t>
        </is>
      </c>
      <c r="BX64" s="49" t="inlineStr">
        <is>
          <t xml:space="preserve">No Aplica                     </t>
        </is>
      </c>
    </row>
    <row r="65" ht="22.5" customHeight="1">
      <c r="A65" s="49" t="n">
        <v>1060598066</v>
      </c>
      <c r="B65" s="49" t="inlineStr">
        <is>
          <t>054</t>
        </is>
      </c>
      <c r="C65" s="49" t="n">
        <v>1060598066</v>
      </c>
      <c r="D65" s="49" t="inlineStr">
        <is>
          <t>CC</t>
        </is>
      </c>
      <c r="E65" s="49" t="inlineStr">
        <is>
          <t>GUZMAN MEJIA ANA MARIA</t>
        </is>
      </c>
      <c r="F65" s="49" t="inlineStr">
        <is>
          <t>F</t>
        </is>
      </c>
      <c r="G65" s="49" t="inlineStr">
        <is>
          <t xml:space="preserve">O  </t>
        </is>
      </c>
      <c r="H65" s="49" t="inlineStr">
        <is>
          <t>+</t>
        </is>
      </c>
      <c r="I65" s="49" t="inlineStr">
        <is>
          <t>SOLTERO</t>
        </is>
      </c>
      <c r="J65" s="49" t="inlineStr">
        <is>
          <t xml:space="preserve">SUPIA                         </t>
        </is>
      </c>
      <c r="K65" s="49" t="n">
        <v>0</v>
      </c>
      <c r="L65" s="49" t="inlineStr">
        <is>
          <t>03/11/1999</t>
        </is>
      </c>
      <c r="M65" s="49" t="inlineStr">
        <is>
          <t xml:space="preserve">SUPIA                         </t>
        </is>
      </c>
      <c r="N65" s="49" t="inlineStr">
        <is>
          <t xml:space="preserve">NA                  </t>
        </is>
      </c>
      <c r="O65" s="49" t="inlineStr">
        <is>
          <t>3002148606</t>
        </is>
      </c>
      <c r="P65" s="49" t="inlineStr">
        <is>
          <t>VDA ARCON</t>
        </is>
      </c>
      <c r="Q65" s="49" t="inlineStr">
        <is>
          <t>animejia0627@hotmail.com</t>
        </is>
      </c>
      <c r="R65" s="49" t="inlineStr">
        <is>
          <t>ANALISTA DE CONTABILIDAD E IMPUESTO</t>
        </is>
      </c>
      <c r="S65" s="108" t="n">
        <v>91.66666600000001</v>
      </c>
      <c r="T65" s="108" t="n">
        <v>0</v>
      </c>
      <c r="U65" s="108" t="n">
        <v>220</v>
      </c>
      <c r="V65" s="49" t="inlineStr">
        <is>
          <t>CONSIG. CTA AHORROS</t>
        </is>
      </c>
      <c r="W65" s="49" t="inlineStr">
        <is>
          <t xml:space="preserve">BANCO DAVIVIENDA S.A.         </t>
        </is>
      </c>
      <c r="X65" s="49" t="inlineStr">
        <is>
          <t xml:space="preserve">0550488439315026         </t>
        </is>
      </c>
      <c r="Y65" s="49" t="inlineStr">
        <is>
          <t xml:space="preserve">NO APLICA                     </t>
        </is>
      </c>
      <c r="Z65" s="49" t="inlineStr">
        <is>
          <t>CM0604-FIN</t>
        </is>
      </c>
      <c r="AA65" s="49" t="inlineStr">
        <is>
          <t>CM0604-FIN</t>
        </is>
      </c>
      <c r="AB65" s="49" t="inlineStr">
        <is>
          <t xml:space="preserve">01 </t>
        </is>
      </c>
      <c r="AC65" s="49" t="inlineStr">
        <is>
          <t xml:space="preserve">                </t>
        </is>
      </c>
      <c r="AD65" s="49" t="inlineStr">
        <is>
          <t>LEY 50</t>
        </is>
      </c>
      <c r="AE65" s="49" t="inlineStr">
        <is>
          <t>No</t>
        </is>
      </c>
      <c r="AF65" s="49" t="inlineStr">
        <is>
          <t>Normal</t>
        </is>
      </c>
      <c r="AG65" s="49" t="n"/>
      <c r="AH65" s="49" t="inlineStr">
        <is>
          <t>Si</t>
        </is>
      </c>
      <c r="AI65" s="49" t="inlineStr">
        <is>
          <t xml:space="preserve">Normal              </t>
        </is>
      </c>
      <c r="AJ65" s="49" t="inlineStr">
        <is>
          <t xml:space="preserve">Quincenal                     </t>
        </is>
      </c>
      <c r="AK65" s="49" t="inlineStr">
        <is>
          <t>NO</t>
        </is>
      </c>
      <c r="AL65" s="49" t="inlineStr">
        <is>
          <t>NO</t>
        </is>
      </c>
      <c r="AM65" s="49" t="inlineStr">
        <is>
          <t>01/06/2023</t>
        </is>
      </c>
      <c r="AN65" s="49" t="n"/>
      <c r="AO65" s="49" t="n"/>
      <c r="AP65" s="49" t="inlineStr">
        <is>
          <t xml:space="preserve">NO APLICA                </t>
        </is>
      </c>
      <c r="AQ65" s="49" t="n">
        <v>97</v>
      </c>
      <c r="AR65" s="49" t="inlineStr">
        <is>
          <t>01</t>
        </is>
      </c>
      <c r="AS65" s="49" t="n">
        <v>1</v>
      </c>
      <c r="AT65" s="49" t="inlineStr">
        <is>
          <t>No</t>
        </is>
      </c>
      <c r="AU65" s="49" t="n">
        <v>0</v>
      </c>
      <c r="AV65" s="108" t="n">
        <v>0</v>
      </c>
      <c r="AW65" s="108" t="n">
        <v>0</v>
      </c>
      <c r="AX65" s="108" t="n">
        <v>0</v>
      </c>
      <c r="AY65" s="49" t="inlineStr">
        <is>
          <t>No</t>
        </is>
      </c>
      <c r="AZ65" s="49" t="n">
        <v>79644</v>
      </c>
      <c r="BA65" s="49" t="inlineStr">
        <is>
          <t>NUEVA E.P.S</t>
        </is>
      </c>
      <c r="BB65" s="49" t="inlineStr">
        <is>
          <t>PORVENIR A.F.P.</t>
        </is>
      </c>
      <c r="BC65" s="49" t="inlineStr">
        <is>
          <t>CCF DE CALDAS</t>
        </is>
      </c>
      <c r="BD65" s="49" t="inlineStr">
        <is>
          <t>RIESGOS PROFESIONALES COLMENA S.A.</t>
        </is>
      </c>
      <c r="BE65" s="49" t="inlineStr">
        <is>
          <t>PORVENIR CESANTIAS</t>
        </is>
      </c>
      <c r="BF65" s="49" t="n">
        <v>0.522</v>
      </c>
      <c r="BG65" s="49" t="n">
        <v>220</v>
      </c>
      <c r="BH65" s="49" t="n">
        <v>15</v>
      </c>
      <c r="BI65" s="49" t="inlineStr">
        <is>
          <t xml:space="preserve">0           </t>
        </is>
      </c>
      <c r="BJ65" s="49" t="inlineStr">
        <is>
          <t xml:space="preserve">NO APLICA                               </t>
        </is>
      </c>
      <c r="BK65" s="49" t="inlineStr">
        <is>
          <t>02</t>
        </is>
      </c>
      <c r="BL65" s="49" t="inlineStr">
        <is>
          <t xml:space="preserve">Caldas                                  </t>
        </is>
      </c>
      <c r="BM65" s="49" t="inlineStr">
        <is>
          <t>02</t>
        </is>
      </c>
      <c r="BN65" s="49" t="inlineStr">
        <is>
          <t xml:space="preserve">Supia                                   </t>
        </is>
      </c>
      <c r="BO65" s="49" t="inlineStr">
        <is>
          <t>0</t>
        </is>
      </c>
      <c r="BP65" s="49" t="inlineStr">
        <is>
          <t>NO APLICA</t>
        </is>
      </c>
      <c r="BQ65" s="49" t="inlineStr">
        <is>
          <t>0</t>
        </is>
      </c>
      <c r="BR65" s="49" t="inlineStr">
        <is>
          <t>NO APLICA</t>
        </is>
      </c>
      <c r="BS65" s="49" t="inlineStr">
        <is>
          <t>0</t>
        </is>
      </c>
      <c r="BT65" s="49" t="inlineStr">
        <is>
          <t>NO APLICA</t>
        </is>
      </c>
      <c r="BU65" s="49" t="inlineStr">
        <is>
          <t>0</t>
        </is>
      </c>
      <c r="BV65" s="49" t="inlineStr">
        <is>
          <t>NO APLICA</t>
        </is>
      </c>
      <c r="BW65" s="49" t="inlineStr">
        <is>
          <t>No</t>
        </is>
      </c>
      <c r="BX65" s="49" t="inlineStr">
        <is>
          <t xml:space="preserve">No Aplica                     </t>
        </is>
      </c>
    </row>
    <row r="66" ht="30" customHeight="1">
      <c r="A66" s="49" t="n">
        <v>1060653592</v>
      </c>
      <c r="B66" s="49" t="inlineStr">
        <is>
          <t>041</t>
        </is>
      </c>
      <c r="C66" s="49" t="n">
        <v>1060653592</v>
      </c>
      <c r="D66" s="49" t="inlineStr">
        <is>
          <t>CC</t>
        </is>
      </c>
      <c r="E66" s="49" t="inlineStr">
        <is>
          <t>LONDOÑO VANEGAS DAVID</t>
        </is>
      </c>
      <c r="F66" s="49" t="inlineStr">
        <is>
          <t>M</t>
        </is>
      </c>
      <c r="G66" s="49" t="inlineStr">
        <is>
          <t xml:space="preserve">O  </t>
        </is>
      </c>
      <c r="H66" s="49" t="inlineStr">
        <is>
          <t>+</t>
        </is>
      </c>
      <c r="I66" s="49" t="inlineStr">
        <is>
          <t>SOLTERO</t>
        </is>
      </c>
      <c r="J66" s="49" t="inlineStr">
        <is>
          <t xml:space="preserve">MANIZALES                     </t>
        </is>
      </c>
      <c r="K66" s="49" t="n">
        <v>0</v>
      </c>
      <c r="L66" s="49" t="inlineStr">
        <is>
          <t>06/02/1995</t>
        </is>
      </c>
      <c r="M66" s="49" t="inlineStr">
        <is>
          <t xml:space="preserve">SUPIA                         </t>
        </is>
      </c>
      <c r="N66" s="49" t="inlineStr">
        <is>
          <t xml:space="preserve">3183975894          </t>
        </is>
      </c>
      <c r="O66" s="49" t="inlineStr">
        <is>
          <t>3183975894</t>
        </is>
      </c>
      <c r="P66" s="49" t="inlineStr">
        <is>
          <t xml:space="preserve">CALLE 11 #  4 -62                       </t>
        </is>
      </c>
      <c r="Q66" s="49" t="inlineStr">
        <is>
          <t>davidlon.695@gmail.com</t>
        </is>
      </c>
      <c r="R66" s="49" t="inlineStr">
        <is>
          <t>Coordinador de Servicios Tecnicos Geologicos</t>
        </is>
      </c>
      <c r="S66" s="108" t="n">
        <v>91.66666600000001</v>
      </c>
      <c r="T66" s="108" t="n">
        <v>0</v>
      </c>
      <c r="U66" s="108" t="n">
        <v>220</v>
      </c>
      <c r="V66" s="49" t="inlineStr">
        <is>
          <t>CONSIG. CTA AHORROS</t>
        </is>
      </c>
      <c r="W66" s="49" t="inlineStr">
        <is>
          <t xml:space="preserve">BANCOLOMBIA S.A.              </t>
        </is>
      </c>
      <c r="X66" s="49" t="inlineStr">
        <is>
          <t xml:space="preserve">91200301698              </t>
        </is>
      </c>
      <c r="Y66" s="49" t="inlineStr">
        <is>
          <t xml:space="preserve">NO APLICA                     </t>
        </is>
      </c>
      <c r="Z66" s="49" t="inlineStr">
        <is>
          <t>CM0100-EXP</t>
        </is>
      </c>
      <c r="AA66" s="49" t="inlineStr">
        <is>
          <t>CM0100-EXP</t>
        </is>
      </c>
      <c r="AB66" s="49" t="inlineStr">
        <is>
          <t xml:space="preserve">01 </t>
        </is>
      </c>
      <c r="AC66" s="49" t="inlineStr">
        <is>
          <t xml:space="preserve">0               </t>
        </is>
      </c>
      <c r="AD66" s="49" t="inlineStr">
        <is>
          <t>LEY 50</t>
        </is>
      </c>
      <c r="AE66" s="49" t="inlineStr">
        <is>
          <t>No</t>
        </is>
      </c>
      <c r="AF66" s="49" t="inlineStr">
        <is>
          <t>Normal</t>
        </is>
      </c>
      <c r="AG66" s="49" t="n"/>
      <c r="AH66" s="49" t="inlineStr">
        <is>
          <t>Si</t>
        </is>
      </c>
      <c r="AI66" s="49" t="inlineStr">
        <is>
          <t xml:space="preserve">Normal              </t>
        </is>
      </c>
      <c r="AJ66" s="49" t="inlineStr">
        <is>
          <t xml:space="preserve">Quincenal                     </t>
        </is>
      </c>
      <c r="AK66" s="49" t="inlineStr">
        <is>
          <t>NO</t>
        </is>
      </c>
      <c r="AL66" s="49" t="inlineStr">
        <is>
          <t>NO</t>
        </is>
      </c>
      <c r="AM66" s="49" t="inlineStr">
        <is>
          <t>01/11/2022</t>
        </is>
      </c>
      <c r="AN66" s="49" t="n"/>
      <c r="AO66" s="49" t="n"/>
      <c r="AP66" s="49" t="inlineStr">
        <is>
          <t xml:space="preserve">NO APLICA                </t>
        </is>
      </c>
      <c r="AQ66" s="49" t="n">
        <v>27</v>
      </c>
      <c r="AR66" s="49" t="inlineStr">
        <is>
          <t>01</t>
        </is>
      </c>
      <c r="AS66" s="49" t="n">
        <v>1</v>
      </c>
      <c r="AT66" s="49" t="inlineStr">
        <is>
          <t>No</t>
        </is>
      </c>
      <c r="AU66" s="49" t="n">
        <v>0</v>
      </c>
      <c r="AV66" s="108" t="n">
        <v>0</v>
      </c>
      <c r="AW66" s="108" t="n">
        <v>337945</v>
      </c>
      <c r="AX66" s="108" t="n">
        <v>0</v>
      </c>
      <c r="AY66" s="49" t="inlineStr">
        <is>
          <t>No</t>
        </is>
      </c>
      <c r="AZ66" s="49" t="n">
        <v>403916</v>
      </c>
      <c r="BA66" s="49" t="inlineStr">
        <is>
          <t>NUEVA E.P.S</t>
        </is>
      </c>
      <c r="BB66" s="49" t="inlineStr">
        <is>
          <t>COLPENSIONES - I.S.S. PENSION</t>
        </is>
      </c>
      <c r="BC66" s="49" t="inlineStr">
        <is>
          <t>CCF DE CALDAS</t>
        </is>
      </c>
      <c r="BD66" s="49" t="inlineStr">
        <is>
          <t>RIESGOS PROFESIONALES COLMENA S.A.</t>
        </is>
      </c>
      <c r="BE66" s="49" t="inlineStr">
        <is>
          <t>PORVENIR CESANTIAS</t>
        </is>
      </c>
      <c r="BF66" s="49" t="n">
        <v>6.96</v>
      </c>
      <c r="BG66" s="49" t="n">
        <v>220</v>
      </c>
      <c r="BH66" s="49" t="n">
        <v>15</v>
      </c>
      <c r="BI66" s="49" t="inlineStr">
        <is>
          <t xml:space="preserve">0           </t>
        </is>
      </c>
      <c r="BJ66" s="49" t="inlineStr">
        <is>
          <t xml:space="preserve">NO APLICA                               </t>
        </is>
      </c>
      <c r="BK66" s="49" t="inlineStr">
        <is>
          <t>02</t>
        </is>
      </c>
      <c r="BL66" s="49" t="inlineStr">
        <is>
          <t xml:space="preserve">Caldas                                  </t>
        </is>
      </c>
      <c r="BM66" s="49" t="inlineStr">
        <is>
          <t>02</t>
        </is>
      </c>
      <c r="BN66" s="49" t="inlineStr">
        <is>
          <t xml:space="preserve">Supia                                   </t>
        </is>
      </c>
      <c r="BO66" s="49" t="inlineStr">
        <is>
          <t>0</t>
        </is>
      </c>
      <c r="BP66" s="49" t="inlineStr">
        <is>
          <t>NO APLICA</t>
        </is>
      </c>
      <c r="BQ66" s="49" t="inlineStr">
        <is>
          <t>0</t>
        </is>
      </c>
      <c r="BR66" s="49" t="inlineStr">
        <is>
          <t>NO APLICA</t>
        </is>
      </c>
      <c r="BS66" s="49" t="inlineStr">
        <is>
          <t>0</t>
        </is>
      </c>
      <c r="BT66" s="49" t="inlineStr">
        <is>
          <t>NO APLICA</t>
        </is>
      </c>
      <c r="BU66" s="49" t="inlineStr">
        <is>
          <t>0</t>
        </is>
      </c>
      <c r="BV66" s="49" t="inlineStr">
        <is>
          <t>NO APLICA</t>
        </is>
      </c>
      <c r="BW66" s="49" t="inlineStr">
        <is>
          <t>No</t>
        </is>
      </c>
      <c r="BX66" s="49" t="inlineStr">
        <is>
          <t xml:space="preserve">No Aplica                     </t>
        </is>
      </c>
    </row>
    <row r="67" ht="15" customHeight="1">
      <c r="A67" s="49" t="n">
        <v>1065004568</v>
      </c>
      <c r="B67" s="49" t="inlineStr">
        <is>
          <t>167</t>
        </is>
      </c>
      <c r="C67" s="49" t="n">
        <v>1065004568</v>
      </c>
      <c r="D67" s="49" t="inlineStr">
        <is>
          <t>CC</t>
        </is>
      </c>
      <c r="E67" s="49" t="inlineStr">
        <is>
          <t>PACHECO GALEANO MOISES ALBERTO</t>
        </is>
      </c>
      <c r="F67" s="49" t="inlineStr">
        <is>
          <t>M</t>
        </is>
      </c>
      <c r="G67" s="49" t="inlineStr">
        <is>
          <t xml:space="preserve">A  </t>
        </is>
      </c>
      <c r="H67" s="49" t="inlineStr">
        <is>
          <t>+</t>
        </is>
      </c>
      <c r="I67" s="49" t="inlineStr">
        <is>
          <t>SOLTERO</t>
        </is>
      </c>
      <c r="J67" s="49" t="inlineStr">
        <is>
          <t xml:space="preserve">MONTERIA                      </t>
        </is>
      </c>
      <c r="K67" s="49" t="n">
        <v>0</v>
      </c>
      <c r="L67" s="49" t="inlineStr">
        <is>
          <t>29/06/1994</t>
        </is>
      </c>
      <c r="M67" s="49" t="inlineStr">
        <is>
          <t xml:space="preserve">SUPIA                         </t>
        </is>
      </c>
      <c r="N67" s="49" t="inlineStr">
        <is>
          <t xml:space="preserve">0000                </t>
        </is>
      </c>
      <c r="O67" s="49" t="inlineStr">
        <is>
          <t>3012405123</t>
        </is>
      </c>
      <c r="P67" s="49" t="inlineStr">
        <is>
          <t>DG 47 A  17 S 27 B</t>
        </is>
      </c>
      <c r="Q67" s="49" t="inlineStr">
        <is>
          <t>moises_0694@hotmail.com</t>
        </is>
      </c>
      <c r="R67" s="49" t="inlineStr">
        <is>
          <t>ANALISTA CONTABLE</t>
        </is>
      </c>
      <c r="S67" s="108" t="n">
        <v>91.66666600000001</v>
      </c>
      <c r="T67" s="108" t="n">
        <v>0</v>
      </c>
      <c r="U67" s="108" t="n">
        <v>220</v>
      </c>
      <c r="V67" s="49" t="inlineStr">
        <is>
          <t>CONSIG. CTA AHORROS</t>
        </is>
      </c>
      <c r="W67" s="49" t="inlineStr">
        <is>
          <t xml:space="preserve">BANCOLOMBIA S.A.              </t>
        </is>
      </c>
      <c r="X67" s="49" t="inlineStr">
        <is>
          <t xml:space="preserve">68123183634              </t>
        </is>
      </c>
      <c r="Y67" s="49" t="inlineStr">
        <is>
          <t xml:space="preserve">NO APLICA                     </t>
        </is>
      </c>
      <c r="Z67" s="49" t="inlineStr">
        <is>
          <t>CM0604-FIN</t>
        </is>
      </c>
      <c r="AA67" s="49" t="inlineStr">
        <is>
          <t>CM0604-FIN</t>
        </is>
      </c>
      <c r="AB67" s="49" t="inlineStr">
        <is>
          <t xml:space="preserve">01 </t>
        </is>
      </c>
      <c r="AC67" s="49" t="inlineStr">
        <is>
          <t xml:space="preserve">                </t>
        </is>
      </c>
      <c r="AD67" s="49" t="inlineStr">
        <is>
          <t>LEY 50</t>
        </is>
      </c>
      <c r="AE67" s="49" t="inlineStr">
        <is>
          <t>No</t>
        </is>
      </c>
      <c r="AF67" s="49" t="inlineStr">
        <is>
          <t>Normal</t>
        </is>
      </c>
      <c r="AG67" s="49" t="n"/>
      <c r="AH67" s="49" t="inlineStr">
        <is>
          <t>Si</t>
        </is>
      </c>
      <c r="AI67" s="49" t="inlineStr">
        <is>
          <t xml:space="preserve">Normal              </t>
        </is>
      </c>
      <c r="AJ67" s="49" t="inlineStr">
        <is>
          <t xml:space="preserve">Quincenal                     </t>
        </is>
      </c>
      <c r="AK67" s="49" t="inlineStr">
        <is>
          <t>NO</t>
        </is>
      </c>
      <c r="AL67" s="49" t="inlineStr">
        <is>
          <t>NO</t>
        </is>
      </c>
      <c r="AM67" s="49" t="inlineStr">
        <is>
          <t>16/02/2026</t>
        </is>
      </c>
      <c r="AN67" s="49" t="n"/>
      <c r="AO67" s="49" t="n"/>
      <c r="AP67" s="49" t="inlineStr">
        <is>
          <t xml:space="preserve">NO APLICA                </t>
        </is>
      </c>
      <c r="AQ67" s="49" t="n">
        <v>228</v>
      </c>
      <c r="AR67" s="49" t="inlineStr">
        <is>
          <t>01</t>
        </is>
      </c>
      <c r="AS67" s="49" t="n">
        <v>1</v>
      </c>
      <c r="AT67" s="49" t="inlineStr">
        <is>
          <t>No</t>
        </is>
      </c>
      <c r="AU67" s="49" t="n">
        <v>0</v>
      </c>
      <c r="AV67" s="108" t="n">
        <v>0</v>
      </c>
      <c r="AW67" s="108" t="n">
        <v>0</v>
      </c>
      <c r="AX67" s="108" t="n">
        <v>0</v>
      </c>
      <c r="AY67" s="49" t="inlineStr">
        <is>
          <t>No</t>
        </is>
      </c>
      <c r="AZ67" s="49" t="n">
        <v>0</v>
      </c>
      <c r="BA67" s="49" t="inlineStr">
        <is>
          <t>SURA E.P.S.</t>
        </is>
      </c>
      <c r="BB67" s="49" t="inlineStr">
        <is>
          <t>PROTECCION A.F.P</t>
        </is>
      </c>
      <c r="BC67" s="49" t="inlineStr">
        <is>
          <t>CCF DE CALDAS</t>
        </is>
      </c>
      <c r="BD67" s="49" t="inlineStr">
        <is>
          <t>RIESGOS PROFESIONALES COLMENA S.A.</t>
        </is>
      </c>
      <c r="BE67" s="49" t="inlineStr">
        <is>
          <t>PROTECCION CESANTIAS</t>
        </is>
      </c>
      <c r="BF67" s="49" t="n">
        <v>0.522</v>
      </c>
      <c r="BG67" s="49" t="n">
        <v>220</v>
      </c>
      <c r="BH67" s="49" t="n">
        <v>15</v>
      </c>
      <c r="BI67" s="49" t="inlineStr">
        <is>
          <t xml:space="preserve">0           </t>
        </is>
      </c>
      <c r="BJ67" s="49" t="inlineStr">
        <is>
          <t xml:space="preserve">NO APLICA                               </t>
        </is>
      </c>
      <c r="BK67" s="49" t="inlineStr">
        <is>
          <t>02</t>
        </is>
      </c>
      <c r="BL67" s="49" t="inlineStr">
        <is>
          <t xml:space="preserve">Caldas                                  </t>
        </is>
      </c>
      <c r="BM67" s="49" t="inlineStr">
        <is>
          <t>02</t>
        </is>
      </c>
      <c r="BN67" s="49" t="inlineStr">
        <is>
          <t xml:space="preserve">Supia                                   </t>
        </is>
      </c>
      <c r="BO67" s="49" t="inlineStr">
        <is>
          <t>0</t>
        </is>
      </c>
      <c r="BP67" s="49" t="inlineStr">
        <is>
          <t>NO APLICA</t>
        </is>
      </c>
      <c r="BQ67" s="49" t="inlineStr">
        <is>
          <t>0</t>
        </is>
      </c>
      <c r="BR67" s="49" t="inlineStr">
        <is>
          <t>NO APLICA</t>
        </is>
      </c>
      <c r="BS67" s="49" t="inlineStr">
        <is>
          <t>0</t>
        </is>
      </c>
      <c r="BT67" s="49" t="inlineStr">
        <is>
          <t>NO APLICA</t>
        </is>
      </c>
      <c r="BU67" s="49" t="inlineStr">
        <is>
          <t>0</t>
        </is>
      </c>
      <c r="BV67" s="49" t="inlineStr">
        <is>
          <t>NO APLICA</t>
        </is>
      </c>
      <c r="BW67" s="49" t="inlineStr">
        <is>
          <t>No</t>
        </is>
      </c>
      <c r="BX67" s="49" t="inlineStr">
        <is>
          <t xml:space="preserve">No Aplica                     </t>
        </is>
      </c>
    </row>
    <row r="68" ht="15" customHeight="1">
      <c r="A68" s="49" t="n">
        <v>1067908034</v>
      </c>
      <c r="B68" s="49" t="inlineStr">
        <is>
          <t xml:space="preserve"> 129</t>
        </is>
      </c>
      <c r="C68" s="49" t="n">
        <v>1067908034</v>
      </c>
      <c r="D68" s="49" t="inlineStr">
        <is>
          <t>CC</t>
        </is>
      </c>
      <c r="E68" s="49" t="inlineStr">
        <is>
          <t>PATERNINA POLO JESSICA</t>
        </is>
      </c>
      <c r="F68" s="49" t="inlineStr">
        <is>
          <t>F</t>
        </is>
      </c>
      <c r="G68" s="49" t="inlineStr">
        <is>
          <t xml:space="preserve">A  </t>
        </is>
      </c>
      <c r="H68" s="49" t="inlineStr">
        <is>
          <t>+</t>
        </is>
      </c>
      <c r="I68" s="49" t="inlineStr">
        <is>
          <t>DESCONOCIDO</t>
        </is>
      </c>
      <c r="J68" s="49" t="inlineStr">
        <is>
          <t xml:space="preserve">MONTERIA                      </t>
        </is>
      </c>
      <c r="K68" s="49" t="n">
        <v>0</v>
      </c>
      <c r="L68" s="49" t="inlineStr">
        <is>
          <t>03/01/1992</t>
        </is>
      </c>
      <c r="M68" s="49" t="inlineStr">
        <is>
          <t xml:space="preserve">SUPIA                         </t>
        </is>
      </c>
      <c r="N68" s="49" t="inlineStr">
        <is>
          <t xml:space="preserve">0000                </t>
        </is>
      </c>
      <c r="O68" s="49" t="inlineStr">
        <is>
          <t>3003850984</t>
        </is>
      </c>
      <c r="P68" s="49" t="inlineStr">
        <is>
          <t>CR 20 22 d 41</t>
        </is>
      </c>
      <c r="Q68" s="49" t="inlineStr">
        <is>
          <t>jessicapaterninapolo@gmail.com</t>
        </is>
      </c>
      <c r="R68" s="49" t="inlineStr">
        <is>
          <t>ENVIRONMENTAL MANAGER</t>
        </is>
      </c>
      <c r="S68" s="108" t="n">
        <v>91.66666600000001</v>
      </c>
      <c r="T68" s="108" t="n">
        <v>0</v>
      </c>
      <c r="U68" s="108" t="n">
        <v>220</v>
      </c>
      <c r="V68" s="49" t="inlineStr">
        <is>
          <t>CONSIG. CTA AHORROS</t>
        </is>
      </c>
      <c r="W68" s="49" t="inlineStr">
        <is>
          <t xml:space="preserve">BANCOLOMBIA S.A.              </t>
        </is>
      </c>
      <c r="X68" s="49" t="inlineStr">
        <is>
          <t xml:space="preserve">79054186610              </t>
        </is>
      </c>
      <c r="Y68" s="49" t="inlineStr">
        <is>
          <t xml:space="preserve">NO APLICA                     </t>
        </is>
      </c>
      <c r="Z68" s="49" t="inlineStr">
        <is>
          <t>CM0200-ESG</t>
        </is>
      </c>
      <c r="AA68" s="49" t="inlineStr">
        <is>
          <t>CM0200-ESGVP</t>
        </is>
      </c>
      <c r="AB68" s="49" t="inlineStr">
        <is>
          <t xml:space="preserve">01 </t>
        </is>
      </c>
      <c r="AC68" s="49" t="inlineStr">
        <is>
          <t xml:space="preserve">                </t>
        </is>
      </c>
      <c r="AD68" s="49" t="inlineStr">
        <is>
          <t>LEY 50</t>
        </is>
      </c>
      <c r="AE68" s="49" t="inlineStr">
        <is>
          <t>No</t>
        </is>
      </c>
      <c r="AF68" s="49" t="inlineStr">
        <is>
          <t>Integral</t>
        </is>
      </c>
      <c r="AG68" s="49" t="n"/>
      <c r="AH68" s="49" t="inlineStr">
        <is>
          <t>Si</t>
        </is>
      </c>
      <c r="AI68" s="49" t="inlineStr">
        <is>
          <t xml:space="preserve">Normal              </t>
        </is>
      </c>
      <c r="AJ68" s="49" t="inlineStr">
        <is>
          <t xml:space="preserve">Quincenal                     </t>
        </is>
      </c>
      <c r="AK68" s="49" t="inlineStr">
        <is>
          <t>NO</t>
        </is>
      </c>
      <c r="AL68" s="49" t="inlineStr">
        <is>
          <t>NO</t>
        </is>
      </c>
      <c r="AM68" s="49" t="inlineStr">
        <is>
          <t>01/07/2025</t>
        </is>
      </c>
      <c r="AN68" s="49" t="n"/>
      <c r="AO68" s="49" t="n"/>
      <c r="AP68" s="49" t="inlineStr">
        <is>
          <t xml:space="preserve">NO APLICA                </t>
        </is>
      </c>
      <c r="AQ68" s="49" t="n">
        <v>188</v>
      </c>
      <c r="AR68" s="49" t="inlineStr">
        <is>
          <t>01</t>
        </is>
      </c>
      <c r="AS68" s="49" t="n">
        <v>1</v>
      </c>
      <c r="AT68" s="49" t="inlineStr">
        <is>
          <t>No</t>
        </is>
      </c>
      <c r="AU68" s="49" t="n">
        <v>0</v>
      </c>
      <c r="AV68" s="108" t="n">
        <v>0</v>
      </c>
      <c r="AW68" s="108" t="n">
        <v>0</v>
      </c>
      <c r="AX68" s="108" t="n">
        <v>0</v>
      </c>
      <c r="AY68" s="49" t="inlineStr">
        <is>
          <t>No</t>
        </is>
      </c>
      <c r="AZ68" s="49" t="n">
        <v>0</v>
      </c>
      <c r="BA68" s="49" t="inlineStr">
        <is>
          <t>SALUD TOTAL E.P.S.</t>
        </is>
      </c>
      <c r="BB68" s="49" t="inlineStr">
        <is>
          <t>PROTECCION A.F.P</t>
        </is>
      </c>
      <c r="BC68" s="49" t="inlineStr">
        <is>
          <t>CCF COMFACOR</t>
        </is>
      </c>
      <c r="BD68" s="49" t="inlineStr">
        <is>
          <t>RIESGOS PROFESIONALES COLMENA S.A.</t>
        </is>
      </c>
      <c r="BE68" s="49" t="inlineStr">
        <is>
          <t>PROTECCION CESANTIAS</t>
        </is>
      </c>
      <c r="BF68" s="49" t="n">
        <v>6.96</v>
      </c>
      <c r="BG68" s="49" t="n">
        <v>220</v>
      </c>
      <c r="BH68" s="49" t="n">
        <v>15</v>
      </c>
      <c r="BI68" s="49" t="inlineStr">
        <is>
          <t xml:space="preserve">0           </t>
        </is>
      </c>
      <c r="BJ68" s="49" t="inlineStr">
        <is>
          <t xml:space="preserve">NO APLICA                               </t>
        </is>
      </c>
      <c r="BK68" s="49" t="inlineStr">
        <is>
          <t>02</t>
        </is>
      </c>
      <c r="BL68" s="49" t="inlineStr">
        <is>
          <t xml:space="preserve">Caldas                                  </t>
        </is>
      </c>
      <c r="BM68" s="49" t="inlineStr">
        <is>
          <t>02</t>
        </is>
      </c>
      <c r="BN68" s="49" t="inlineStr">
        <is>
          <t xml:space="preserve">Supia                                   </t>
        </is>
      </c>
      <c r="BO68" s="49" t="inlineStr">
        <is>
          <t>0</t>
        </is>
      </c>
      <c r="BP68" s="49" t="inlineStr">
        <is>
          <t>NO APLICA</t>
        </is>
      </c>
      <c r="BQ68" s="49" t="inlineStr">
        <is>
          <t>0</t>
        </is>
      </c>
      <c r="BR68" s="49" t="inlineStr">
        <is>
          <t>NO APLICA</t>
        </is>
      </c>
      <c r="BS68" s="49" t="inlineStr">
        <is>
          <t>0</t>
        </is>
      </c>
      <c r="BT68" s="49" t="inlineStr">
        <is>
          <t>NO APLICA</t>
        </is>
      </c>
      <c r="BU68" s="49" t="inlineStr">
        <is>
          <t>0</t>
        </is>
      </c>
      <c r="BV68" s="49" t="inlineStr">
        <is>
          <t>NO APLICA</t>
        </is>
      </c>
      <c r="BW68" s="49" t="inlineStr">
        <is>
          <t>No</t>
        </is>
      </c>
      <c r="BX68" s="49" t="inlineStr">
        <is>
          <t xml:space="preserve">No Aplica                     </t>
        </is>
      </c>
    </row>
    <row r="69" ht="22.5" customHeight="1">
      <c r="A69" s="49" t="n">
        <v>1071351401</v>
      </c>
      <c r="B69" s="49" t="inlineStr">
        <is>
          <t>152</t>
        </is>
      </c>
      <c r="C69" s="49" t="n">
        <v>1071351401</v>
      </c>
      <c r="D69" s="49" t="inlineStr">
        <is>
          <t>CC</t>
        </is>
      </c>
      <c r="E69" s="49" t="inlineStr">
        <is>
          <t>SANCHEZ MASEA YOMAR JAVIER</t>
        </is>
      </c>
      <c r="F69" s="49" t="inlineStr">
        <is>
          <t>M</t>
        </is>
      </c>
      <c r="G69" s="49" t="inlineStr">
        <is>
          <t xml:space="preserve">A  </t>
        </is>
      </c>
      <c r="H69" s="49" t="inlineStr">
        <is>
          <t>+</t>
        </is>
      </c>
      <c r="I69" s="49" t="inlineStr">
        <is>
          <t>SOLTERO</t>
        </is>
      </c>
      <c r="J69" s="49" t="inlineStr">
        <is>
          <t xml:space="preserve">PACORA                        </t>
        </is>
      </c>
      <c r="K69" s="49" t="n">
        <v>0</v>
      </c>
      <c r="L69" s="49" t="inlineStr">
        <is>
          <t>24/04/2006</t>
        </is>
      </c>
      <c r="M69" s="49" t="inlineStr">
        <is>
          <t xml:space="preserve">SUPIA                         </t>
        </is>
      </c>
      <c r="N69" s="49" t="inlineStr">
        <is>
          <t xml:space="preserve">0000                </t>
        </is>
      </c>
      <c r="O69" s="49" t="inlineStr">
        <is>
          <t>3001418632</t>
        </is>
      </c>
      <c r="P69" s="49" t="inlineStr">
        <is>
          <t>VDA Alto de Pozo, San Bartolomé</t>
        </is>
      </c>
      <c r="Q69" s="49" t="inlineStr">
        <is>
          <t>yomarsanchezmasea55online@gmail.com</t>
        </is>
      </c>
      <c r="R69" s="49" t="inlineStr">
        <is>
          <t>AUXILIAR DE EXPLORACIÓN</t>
        </is>
      </c>
      <c r="S69" s="108" t="n">
        <v>91.66666600000001</v>
      </c>
      <c r="T69" s="108" t="n">
        <v>0</v>
      </c>
      <c r="U69" s="108" t="n">
        <v>220</v>
      </c>
      <c r="V69" s="49" t="inlineStr">
        <is>
          <t>CONSIG. CTA AHORROS</t>
        </is>
      </c>
      <c r="W69" s="49" t="inlineStr">
        <is>
          <t xml:space="preserve">BANCO DAVIVIENDA S.A.         </t>
        </is>
      </c>
      <c r="X69" s="49" t="inlineStr">
        <is>
          <t xml:space="preserve">0550488445786079         </t>
        </is>
      </c>
      <c r="Y69" s="49" t="inlineStr">
        <is>
          <t xml:space="preserve">NO APLICA                     </t>
        </is>
      </c>
      <c r="Z69" s="49" t="inlineStr">
        <is>
          <t>CM0100-EXP</t>
        </is>
      </c>
      <c r="AA69" s="49" t="inlineStr">
        <is>
          <t>CM0100-EXP</t>
        </is>
      </c>
      <c r="AB69" s="49" t="inlineStr">
        <is>
          <t xml:space="preserve">01 </t>
        </is>
      </c>
      <c r="AC69" s="49" t="inlineStr">
        <is>
          <t xml:space="preserve">                </t>
        </is>
      </c>
      <c r="AD69" s="49" t="inlineStr">
        <is>
          <t>LEY 50</t>
        </is>
      </c>
      <c r="AE69" s="49" t="inlineStr">
        <is>
          <t>No</t>
        </is>
      </c>
      <c r="AF69" s="49" t="inlineStr">
        <is>
          <t>Normal</t>
        </is>
      </c>
      <c r="AG69" s="49" t="n"/>
      <c r="AH69" s="49" t="inlineStr">
        <is>
          <t>Si</t>
        </is>
      </c>
      <c r="AI69" s="49" t="inlineStr">
        <is>
          <t xml:space="preserve">Normal              </t>
        </is>
      </c>
      <c r="AJ69" s="49" t="inlineStr">
        <is>
          <t xml:space="preserve">Quincenal                     </t>
        </is>
      </c>
      <c r="AK69" s="49" t="inlineStr">
        <is>
          <t>NO</t>
        </is>
      </c>
      <c r="AL69" s="49" t="inlineStr">
        <is>
          <t>NO</t>
        </is>
      </c>
      <c r="AM69" s="49" t="inlineStr">
        <is>
          <t>01/12/2025</t>
        </is>
      </c>
      <c r="AN69" s="49" t="n"/>
      <c r="AO69" s="49" t="n"/>
      <c r="AP69" s="49" t="inlineStr">
        <is>
          <t xml:space="preserve">NO APLICA                </t>
        </is>
      </c>
      <c r="AQ69" s="49" t="n">
        <v>214</v>
      </c>
      <c r="AR69" s="49" t="inlineStr">
        <is>
          <t>01</t>
        </is>
      </c>
      <c r="AS69" s="49" t="n">
        <v>1</v>
      </c>
      <c r="AT69" s="49" t="inlineStr">
        <is>
          <t>No</t>
        </is>
      </c>
      <c r="AU69" s="49" t="n">
        <v>0</v>
      </c>
      <c r="AV69" s="108" t="n">
        <v>0</v>
      </c>
      <c r="AW69" s="108" t="n">
        <v>0</v>
      </c>
      <c r="AX69" s="108" t="n">
        <v>0</v>
      </c>
      <c r="AY69" s="49" t="inlineStr">
        <is>
          <t>No</t>
        </is>
      </c>
      <c r="AZ69" s="49" t="n">
        <v>0</v>
      </c>
      <c r="BA69" s="49" t="inlineStr">
        <is>
          <t>NUEVA E.P.S</t>
        </is>
      </c>
      <c r="BB69" s="49" t="inlineStr">
        <is>
          <t>PORVENIR A.F.P.</t>
        </is>
      </c>
      <c r="BC69" s="49" t="inlineStr">
        <is>
          <t>CCF DE CALDAS</t>
        </is>
      </c>
      <c r="BD69" s="49" t="inlineStr">
        <is>
          <t>RIESGOS PROFESIONALES COLMENA S.A.</t>
        </is>
      </c>
      <c r="BE69" s="49" t="inlineStr">
        <is>
          <t>PORVENIR CESANTIAS</t>
        </is>
      </c>
      <c r="BF69" s="49" t="n">
        <v>6.96</v>
      </c>
      <c r="BG69" s="49" t="n">
        <v>220</v>
      </c>
      <c r="BH69" s="49" t="n">
        <v>15</v>
      </c>
      <c r="BI69" s="49" t="inlineStr">
        <is>
          <t xml:space="preserve">0           </t>
        </is>
      </c>
      <c r="BJ69" s="49" t="inlineStr">
        <is>
          <t xml:space="preserve">NO APLICA                               </t>
        </is>
      </c>
      <c r="BK69" s="49" t="inlineStr">
        <is>
          <t>02</t>
        </is>
      </c>
      <c r="BL69" s="49" t="inlineStr">
        <is>
          <t xml:space="preserve">Caldas                                  </t>
        </is>
      </c>
      <c r="BM69" s="49" t="inlineStr">
        <is>
          <t>02</t>
        </is>
      </c>
      <c r="BN69" s="49" t="inlineStr">
        <is>
          <t xml:space="preserve">Supia                                   </t>
        </is>
      </c>
      <c r="BO69" s="49" t="inlineStr">
        <is>
          <t>0</t>
        </is>
      </c>
      <c r="BP69" s="49" t="inlineStr">
        <is>
          <t>NO APLICA</t>
        </is>
      </c>
      <c r="BQ69" s="49" t="inlineStr">
        <is>
          <t>0</t>
        </is>
      </c>
      <c r="BR69" s="49" t="inlineStr">
        <is>
          <t>NO APLICA</t>
        </is>
      </c>
      <c r="BS69" s="49" t="inlineStr">
        <is>
          <t>0</t>
        </is>
      </c>
      <c r="BT69" s="49" t="inlineStr">
        <is>
          <t>NO APLICA</t>
        </is>
      </c>
      <c r="BU69" s="49" t="inlineStr">
        <is>
          <t>0</t>
        </is>
      </c>
      <c r="BV69" s="49" t="inlineStr">
        <is>
          <t>NO APLICA</t>
        </is>
      </c>
      <c r="BW69" s="49" t="inlineStr">
        <is>
          <t>No</t>
        </is>
      </c>
      <c r="BX69" s="49" t="inlineStr">
        <is>
          <t xml:space="preserve">No Aplica                     </t>
        </is>
      </c>
    </row>
    <row r="70" ht="22.5" customHeight="1">
      <c r="A70" s="49" t="n">
        <v>1095510911</v>
      </c>
      <c r="B70" s="49" t="inlineStr">
        <is>
          <t>029</t>
        </is>
      </c>
      <c r="C70" s="49" t="n">
        <v>1095510911</v>
      </c>
      <c r="D70" s="49" t="inlineStr">
        <is>
          <t>CC</t>
        </is>
      </c>
      <c r="E70" s="49" t="inlineStr">
        <is>
          <t>GUAZA VELASCO YOINER JAVIER</t>
        </is>
      </c>
      <c r="F70" s="49" t="inlineStr">
        <is>
          <t>M</t>
        </is>
      </c>
      <c r="G70" s="49" t="inlineStr">
        <is>
          <t xml:space="preserve">O  </t>
        </is>
      </c>
      <c r="H70" s="49" t="inlineStr">
        <is>
          <t>+</t>
        </is>
      </c>
      <c r="I70" s="49" t="inlineStr">
        <is>
          <t>SOLTERO</t>
        </is>
      </c>
      <c r="J70" s="49" t="inlineStr">
        <is>
          <t xml:space="preserve">GUADALUPE                     </t>
        </is>
      </c>
      <c r="K70" s="49" t="n">
        <v>0</v>
      </c>
      <c r="L70" s="49" t="inlineStr">
        <is>
          <t>14/03/1993</t>
        </is>
      </c>
      <c r="M70" s="49" t="inlineStr">
        <is>
          <t xml:space="preserve">SUPIA                         </t>
        </is>
      </c>
      <c r="N70" s="49" t="inlineStr">
        <is>
          <t xml:space="preserve">3222259944          </t>
        </is>
      </c>
      <c r="O70" s="49" t="inlineStr">
        <is>
          <t>3222259944</t>
        </is>
      </c>
      <c r="P70" s="49" t="inlineStr">
        <is>
          <t>CALLE 67 # 23B03</t>
        </is>
      </c>
      <c r="Q70" s="49" t="inlineStr">
        <is>
          <t>javierguaza@hotmail.com</t>
        </is>
      </c>
      <c r="R70" s="49" t="inlineStr">
        <is>
          <t>GEÓLOGO JUNIOR</t>
        </is>
      </c>
      <c r="S70" s="108" t="n">
        <v>91.66666600000001</v>
      </c>
      <c r="T70" s="108" t="n">
        <v>0</v>
      </c>
      <c r="U70" s="108" t="n">
        <v>220</v>
      </c>
      <c r="V70" s="49" t="inlineStr">
        <is>
          <t>CONSIG. CTA AHORROS</t>
        </is>
      </c>
      <c r="W70" s="49" t="inlineStr">
        <is>
          <t xml:space="preserve">BANCO DAVIVIENDA S.A.         </t>
        </is>
      </c>
      <c r="X70" s="49" t="inlineStr">
        <is>
          <t xml:space="preserve">0550488438446475         </t>
        </is>
      </c>
      <c r="Y70" s="49" t="inlineStr">
        <is>
          <t xml:space="preserve">NO APLICA                     </t>
        </is>
      </c>
      <c r="Z70" s="49" t="inlineStr">
        <is>
          <t>CM0100-EXP</t>
        </is>
      </c>
      <c r="AA70" s="49" t="inlineStr">
        <is>
          <t>CM0100-EXP</t>
        </is>
      </c>
      <c r="AB70" s="49" t="inlineStr">
        <is>
          <t xml:space="preserve">01 </t>
        </is>
      </c>
      <c r="AC70" s="49" t="inlineStr">
        <is>
          <t xml:space="preserve">0               </t>
        </is>
      </c>
      <c r="AD70" s="49" t="inlineStr">
        <is>
          <t>LEY 50</t>
        </is>
      </c>
      <c r="AE70" s="49" t="inlineStr">
        <is>
          <t>No</t>
        </is>
      </c>
      <c r="AF70" s="49" t="inlineStr">
        <is>
          <t>Normal</t>
        </is>
      </c>
      <c r="AG70" s="49" t="n"/>
      <c r="AH70" s="49" t="inlineStr">
        <is>
          <t>Si</t>
        </is>
      </c>
      <c r="AI70" s="49" t="inlineStr">
        <is>
          <t xml:space="preserve">Normal              </t>
        </is>
      </c>
      <c r="AJ70" s="49" t="inlineStr">
        <is>
          <t xml:space="preserve">Quincenal                     </t>
        </is>
      </c>
      <c r="AK70" s="49" t="inlineStr">
        <is>
          <t>NO</t>
        </is>
      </c>
      <c r="AL70" s="49" t="inlineStr">
        <is>
          <t>NO</t>
        </is>
      </c>
      <c r="AM70" s="49" t="inlineStr">
        <is>
          <t>01/07/2022</t>
        </is>
      </c>
      <c r="AN70" s="49" t="n"/>
      <c r="AO70" s="49" t="n"/>
      <c r="AP70" s="49" t="inlineStr">
        <is>
          <t xml:space="preserve">NO APLICA                </t>
        </is>
      </c>
      <c r="AQ70" s="49" t="n">
        <v>80</v>
      </c>
      <c r="AR70" s="49" t="inlineStr">
        <is>
          <t>01</t>
        </is>
      </c>
      <c r="AS70" s="49" t="n">
        <v>1</v>
      </c>
      <c r="AT70" s="49" t="inlineStr">
        <is>
          <t>No</t>
        </is>
      </c>
      <c r="AU70" s="49" t="n">
        <v>0</v>
      </c>
      <c r="AV70" s="108" t="n">
        <v>0</v>
      </c>
      <c r="AW70" s="108" t="n">
        <v>0</v>
      </c>
      <c r="AX70" s="108" t="n">
        <v>0</v>
      </c>
      <c r="AY70" s="49" t="inlineStr">
        <is>
          <t>No</t>
        </is>
      </c>
      <c r="AZ70" s="49" t="n">
        <v>215063</v>
      </c>
      <c r="BA70" s="49" t="inlineStr">
        <is>
          <t>Coosalud</t>
        </is>
      </c>
      <c r="BB70" s="49" t="inlineStr">
        <is>
          <t>COLPENSIONES - I.S.S. PENSION</t>
        </is>
      </c>
      <c r="BC70" s="49" t="inlineStr">
        <is>
          <t>CCF DE CALDAS</t>
        </is>
      </c>
      <c r="BD70" s="49" t="inlineStr">
        <is>
          <t>RIESGOS PROFESIONALES COLMENA S.A.</t>
        </is>
      </c>
      <c r="BE70" s="49" t="inlineStr">
        <is>
          <t>PORVENIR CESANTIAS</t>
        </is>
      </c>
      <c r="BF70" s="49" t="n">
        <v>6.96</v>
      </c>
      <c r="BG70" s="49" t="n">
        <v>220</v>
      </c>
      <c r="BH70" s="49" t="n">
        <v>15</v>
      </c>
      <c r="BI70" s="49" t="inlineStr">
        <is>
          <t xml:space="preserve">0           </t>
        </is>
      </c>
      <c r="BJ70" s="49" t="inlineStr">
        <is>
          <t xml:space="preserve">NO APLICA                               </t>
        </is>
      </c>
      <c r="BK70" s="49" t="inlineStr">
        <is>
          <t>02</t>
        </is>
      </c>
      <c r="BL70" s="49" t="inlineStr">
        <is>
          <t xml:space="preserve">Caldas                                  </t>
        </is>
      </c>
      <c r="BM70" s="49" t="inlineStr">
        <is>
          <t>02</t>
        </is>
      </c>
      <c r="BN70" s="49" t="inlineStr">
        <is>
          <t xml:space="preserve">Supia                                   </t>
        </is>
      </c>
      <c r="BO70" s="49" t="inlineStr">
        <is>
          <t>0</t>
        </is>
      </c>
      <c r="BP70" s="49" t="inlineStr">
        <is>
          <t>NO APLICA</t>
        </is>
      </c>
      <c r="BQ70" s="49" t="inlineStr">
        <is>
          <t>0</t>
        </is>
      </c>
      <c r="BR70" s="49" t="inlineStr">
        <is>
          <t>NO APLICA</t>
        </is>
      </c>
      <c r="BS70" s="49" t="inlineStr">
        <is>
          <t>0</t>
        </is>
      </c>
      <c r="BT70" s="49" t="inlineStr">
        <is>
          <t>NO APLICA</t>
        </is>
      </c>
      <c r="BU70" s="49" t="inlineStr">
        <is>
          <t>0</t>
        </is>
      </c>
      <c r="BV70" s="49" t="inlineStr">
        <is>
          <t>NO APLICA</t>
        </is>
      </c>
      <c r="BW70" s="49" t="inlineStr">
        <is>
          <t>No</t>
        </is>
      </c>
      <c r="BX70" s="49" t="inlineStr">
        <is>
          <t xml:space="preserve">No Aplica                     </t>
        </is>
      </c>
    </row>
    <row r="71" ht="30" customHeight="1">
      <c r="A71" s="49" t="n">
        <v>1098668023</v>
      </c>
      <c r="B71" s="49" t="inlineStr">
        <is>
          <t>006</t>
        </is>
      </c>
      <c r="C71" s="49" t="n">
        <v>1098668023</v>
      </c>
      <c r="D71" s="49" t="inlineStr">
        <is>
          <t>CC</t>
        </is>
      </c>
      <c r="E71" s="49" t="inlineStr">
        <is>
          <t>PINILLA REYES OSCAR JAVIER</t>
        </is>
      </c>
      <c r="F71" s="49" t="inlineStr">
        <is>
          <t>M</t>
        </is>
      </c>
      <c r="G71" s="49" t="inlineStr">
        <is>
          <t xml:space="preserve">O  </t>
        </is>
      </c>
      <c r="H71" s="49" t="inlineStr">
        <is>
          <t>+</t>
        </is>
      </c>
      <c r="I71" s="49" t="inlineStr">
        <is>
          <t>SOLTERO</t>
        </is>
      </c>
      <c r="J71" s="49" t="inlineStr">
        <is>
          <t xml:space="preserve">SAN VICENTE DE CHUCURI        </t>
        </is>
      </c>
      <c r="K71" s="49" t="n">
        <v>0</v>
      </c>
      <c r="L71" s="49" t="inlineStr">
        <is>
          <t>19/02/1989</t>
        </is>
      </c>
      <c r="M71" s="49" t="inlineStr">
        <is>
          <t xml:space="preserve">MEDELLÍN                      </t>
        </is>
      </c>
      <c r="N71" s="49" t="inlineStr">
        <is>
          <t xml:space="preserve">3024357516          </t>
        </is>
      </c>
      <c r="O71" s="49" t="inlineStr">
        <is>
          <t>3024357516</t>
        </is>
      </c>
      <c r="P71" s="49" t="inlineStr">
        <is>
          <t>Cr 35 # 75 Sur - 41, Apt: 1801</t>
        </is>
      </c>
      <c r="Q71" s="49" t="inlineStr">
        <is>
          <t>o.pinilla@collectivemining.com</t>
        </is>
      </c>
      <c r="R71" s="49" t="inlineStr">
        <is>
          <t>JEFE DATA, MODELAMIENTO Y PLANEACIÓN</t>
        </is>
      </c>
      <c r="S71" s="108" t="n">
        <v>91.66666600000001</v>
      </c>
      <c r="T71" s="108" t="n">
        <v>0</v>
      </c>
      <c r="U71" s="108" t="n">
        <v>220</v>
      </c>
      <c r="V71" s="49" t="inlineStr">
        <is>
          <t>CONSIG. CTA AHORROS</t>
        </is>
      </c>
      <c r="W71" s="49" t="inlineStr">
        <is>
          <t xml:space="preserve">BANCO DE BOGOTÁ               </t>
        </is>
      </c>
      <c r="X71" s="49" t="inlineStr">
        <is>
          <t xml:space="preserve">752182436                </t>
        </is>
      </c>
      <c r="Y71" s="49" t="inlineStr">
        <is>
          <t xml:space="preserve">NO APLICA                     </t>
        </is>
      </c>
      <c r="Z71" s="49" t="inlineStr">
        <is>
          <t>CM0100-EXP</t>
        </is>
      </c>
      <c r="AA71" s="49" t="inlineStr">
        <is>
          <t>CM0100-EXP</t>
        </is>
      </c>
      <c r="AB71" s="49" t="inlineStr">
        <is>
          <t xml:space="preserve">01 </t>
        </is>
      </c>
      <c r="AC71" s="49" t="inlineStr">
        <is>
          <t xml:space="preserve">0               </t>
        </is>
      </c>
      <c r="AD71" s="49" t="inlineStr">
        <is>
          <t>LEY 50</t>
        </is>
      </c>
      <c r="AE71" s="49" t="inlineStr">
        <is>
          <t>No</t>
        </is>
      </c>
      <c r="AF71" s="49" t="inlineStr">
        <is>
          <t>Integral</t>
        </is>
      </c>
      <c r="AG71" s="49" t="n"/>
      <c r="AH71" s="49" t="inlineStr">
        <is>
          <t>Si</t>
        </is>
      </c>
      <c r="AI71" s="49" t="inlineStr">
        <is>
          <t xml:space="preserve">Normal              </t>
        </is>
      </c>
      <c r="AJ71" s="49" t="inlineStr">
        <is>
          <t xml:space="preserve">Quincenal                     </t>
        </is>
      </c>
      <c r="AK71" s="49" t="inlineStr">
        <is>
          <t>NO</t>
        </is>
      </c>
      <c r="AL71" s="49" t="inlineStr">
        <is>
          <t>NO</t>
        </is>
      </c>
      <c r="AM71" s="49" t="inlineStr">
        <is>
          <t>07/09/2020</t>
        </is>
      </c>
      <c r="AN71" s="49" t="n"/>
      <c r="AO71" s="49" t="n"/>
      <c r="AP71" s="49" t="inlineStr">
        <is>
          <t xml:space="preserve">NO APLICA                </t>
        </is>
      </c>
      <c r="AQ71" s="49" t="n">
        <v>55</v>
      </c>
      <c r="AR71" s="49" t="inlineStr">
        <is>
          <t>01</t>
        </is>
      </c>
      <c r="AS71" s="49" t="n">
        <v>1</v>
      </c>
      <c r="AT71" s="49" t="inlineStr">
        <is>
          <t>No</t>
        </is>
      </c>
      <c r="AU71" s="49" t="n">
        <v>0</v>
      </c>
      <c r="AV71" s="108" t="n">
        <v>0</v>
      </c>
      <c r="AW71" s="108" t="n">
        <v>0</v>
      </c>
      <c r="AX71" s="108" t="n">
        <v>0</v>
      </c>
      <c r="AY71" s="49" t="inlineStr">
        <is>
          <t>No</t>
        </is>
      </c>
      <c r="AZ71" s="49" t="n">
        <v>473382</v>
      </c>
      <c r="BA71" s="49" t="inlineStr">
        <is>
          <t>SURA E.P.S.</t>
        </is>
      </c>
      <c r="BB71" s="49" t="inlineStr">
        <is>
          <t>COLPENSIONES - I.S.S. PENSION</t>
        </is>
      </c>
      <c r="BC71" s="49" t="inlineStr">
        <is>
          <t>CCF COMFENALCO ANTIOQUIA</t>
        </is>
      </c>
      <c r="BD71" s="49" t="inlineStr">
        <is>
          <t>RIESGOS PROFESIONALES COLMENA S.A.</t>
        </is>
      </c>
      <c r="BE71" s="49" t="inlineStr">
        <is>
          <t>PROTECCION CESANTIAS</t>
        </is>
      </c>
      <c r="BF71" s="49" t="n">
        <v>6.96</v>
      </c>
      <c r="BG71" s="49" t="n">
        <v>220</v>
      </c>
      <c r="BH71" s="49" t="n">
        <v>15</v>
      </c>
      <c r="BI71" s="49" t="inlineStr">
        <is>
          <t xml:space="preserve">0           </t>
        </is>
      </c>
      <c r="BJ71" s="49" t="inlineStr">
        <is>
          <t xml:space="preserve">NO APLICA                               </t>
        </is>
      </c>
      <c r="BK71" s="49" t="inlineStr">
        <is>
          <t>02</t>
        </is>
      </c>
      <c r="BL71" s="49" t="inlineStr">
        <is>
          <t xml:space="preserve">Caldas                                  </t>
        </is>
      </c>
      <c r="BM71" s="49" t="inlineStr">
        <is>
          <t>02</t>
        </is>
      </c>
      <c r="BN71" s="49" t="inlineStr">
        <is>
          <t xml:space="preserve">Supia                                   </t>
        </is>
      </c>
      <c r="BO71" s="49" t="inlineStr">
        <is>
          <t>0</t>
        </is>
      </c>
      <c r="BP71" s="49" t="inlineStr">
        <is>
          <t>NO APLICA</t>
        </is>
      </c>
      <c r="BQ71" s="49" t="inlineStr">
        <is>
          <t>0</t>
        </is>
      </c>
      <c r="BR71" s="49" t="inlineStr">
        <is>
          <t>NO APLICA</t>
        </is>
      </c>
      <c r="BS71" s="49" t="inlineStr">
        <is>
          <t>0</t>
        </is>
      </c>
      <c r="BT71" s="49" t="inlineStr">
        <is>
          <t>NO APLICA</t>
        </is>
      </c>
      <c r="BU71" s="49" t="inlineStr">
        <is>
          <t>0</t>
        </is>
      </c>
      <c r="BV71" s="49" t="inlineStr">
        <is>
          <t>NO APLICA</t>
        </is>
      </c>
      <c r="BW71" s="49" t="inlineStr">
        <is>
          <t>No</t>
        </is>
      </c>
      <c r="BX71" s="49" t="inlineStr">
        <is>
          <t xml:space="preserve">No Aplica                     </t>
        </is>
      </c>
    </row>
    <row r="72" ht="30" customHeight="1">
      <c r="A72" s="49" t="n">
        <v>1098680474</v>
      </c>
      <c r="B72" s="49" t="inlineStr">
        <is>
          <t xml:space="preserve"> 123</t>
        </is>
      </c>
      <c r="C72" s="49" t="n">
        <v>1098680474</v>
      </c>
      <c r="D72" s="49" t="inlineStr">
        <is>
          <t>CC</t>
        </is>
      </c>
      <c r="E72" s="49" t="inlineStr">
        <is>
          <t>MENDOZA AFANADOR GERSON</t>
        </is>
      </c>
      <c r="F72" s="49" t="inlineStr">
        <is>
          <t>M</t>
        </is>
      </c>
      <c r="G72" s="49" t="inlineStr">
        <is>
          <t xml:space="preserve">A  </t>
        </is>
      </c>
      <c r="H72" s="49" t="inlineStr">
        <is>
          <t>+</t>
        </is>
      </c>
      <c r="I72" s="49" t="inlineStr">
        <is>
          <t>DESCONOCIDO</t>
        </is>
      </c>
      <c r="J72" s="49" t="inlineStr">
        <is>
          <t xml:space="preserve">BUCARAMANGA                   </t>
        </is>
      </c>
      <c r="K72" s="49" t="n">
        <v>0</v>
      </c>
      <c r="L72" s="49" t="inlineStr">
        <is>
          <t>06/12/1989</t>
        </is>
      </c>
      <c r="M72" s="49" t="inlineStr">
        <is>
          <t xml:space="preserve">SUPIA                         </t>
        </is>
      </c>
      <c r="N72" s="49" t="inlineStr">
        <is>
          <t xml:space="preserve">0000                </t>
        </is>
      </c>
      <c r="O72" s="49" t="inlineStr">
        <is>
          <t>3134795844</t>
        </is>
      </c>
      <c r="P72" s="49" t="inlineStr">
        <is>
          <t>CR 15  92 164 TO 2</t>
        </is>
      </c>
      <c r="Q72" s="49" t="inlineStr">
        <is>
          <t>gersonmendoza09@gmail.com</t>
        </is>
      </c>
      <c r="R72" s="49" t="inlineStr">
        <is>
          <t>GEOLOGO SENIOR DE MODELAMIENTO</t>
        </is>
      </c>
      <c r="S72" s="108" t="n">
        <v>91.66666600000001</v>
      </c>
      <c r="T72" s="108" t="n">
        <v>0</v>
      </c>
      <c r="U72" s="108" t="n">
        <v>220</v>
      </c>
      <c r="V72" s="49" t="inlineStr">
        <is>
          <t>CONSIG. CTA AHORROS</t>
        </is>
      </c>
      <c r="W72" s="49" t="inlineStr">
        <is>
          <t xml:space="preserve">BANCO DE OCCIDENTE            </t>
        </is>
      </c>
      <c r="X72" s="49" t="inlineStr">
        <is>
          <t xml:space="preserve">652851189                </t>
        </is>
      </c>
      <c r="Y72" s="49" t="inlineStr">
        <is>
          <t xml:space="preserve">NO APLICA                     </t>
        </is>
      </c>
      <c r="Z72" s="49" t="inlineStr">
        <is>
          <t>CM0100-EXP</t>
        </is>
      </c>
      <c r="AA72" s="49" t="inlineStr">
        <is>
          <t>CM0100-EXP</t>
        </is>
      </c>
      <c r="AB72" s="49" t="inlineStr">
        <is>
          <t xml:space="preserve">01 </t>
        </is>
      </c>
      <c r="AC72" s="49" t="inlineStr">
        <is>
          <t xml:space="preserve">                </t>
        </is>
      </c>
      <c r="AD72" s="49" t="inlineStr">
        <is>
          <t>LEY 50</t>
        </is>
      </c>
      <c r="AE72" s="49" t="inlineStr">
        <is>
          <t>No</t>
        </is>
      </c>
      <c r="AF72" s="49" t="inlineStr">
        <is>
          <t>Normal</t>
        </is>
      </c>
      <c r="AG72" s="49" t="n"/>
      <c r="AH72" s="49" t="inlineStr">
        <is>
          <t>Si</t>
        </is>
      </c>
      <c r="AI72" s="49" t="inlineStr">
        <is>
          <t xml:space="preserve">Normal              </t>
        </is>
      </c>
      <c r="AJ72" s="49" t="inlineStr">
        <is>
          <t xml:space="preserve">Quincenal                     </t>
        </is>
      </c>
      <c r="AK72" s="49" t="inlineStr">
        <is>
          <t>NO</t>
        </is>
      </c>
      <c r="AL72" s="49" t="inlineStr">
        <is>
          <t>NO</t>
        </is>
      </c>
      <c r="AM72" s="49" t="inlineStr">
        <is>
          <t>17/06/2025</t>
        </is>
      </c>
      <c r="AN72" s="49" t="n"/>
      <c r="AO72" s="49" t="n"/>
      <c r="AP72" s="49" t="inlineStr">
        <is>
          <t xml:space="preserve">NO APLICA                </t>
        </is>
      </c>
      <c r="AQ72" s="49" t="n">
        <v>185</v>
      </c>
      <c r="AR72" s="49" t="inlineStr">
        <is>
          <t>01</t>
        </is>
      </c>
      <c r="AS72" s="49" t="n">
        <v>1</v>
      </c>
      <c r="AT72" s="49" t="inlineStr">
        <is>
          <t>No</t>
        </is>
      </c>
      <c r="AU72" s="49" t="n">
        <v>0</v>
      </c>
      <c r="AV72" s="108" t="n">
        <v>0</v>
      </c>
      <c r="AW72" s="108" t="n">
        <v>0</v>
      </c>
      <c r="AX72" s="108" t="n">
        <v>0</v>
      </c>
      <c r="AY72" s="49" t="inlineStr">
        <is>
          <t>No</t>
        </is>
      </c>
      <c r="AZ72" s="49" t="n">
        <v>0</v>
      </c>
      <c r="BA72" s="49" t="inlineStr">
        <is>
          <t>Salud MIA EPS</t>
        </is>
      </c>
      <c r="BB72" s="49" t="inlineStr">
        <is>
          <t>COLFONDOS  A.F.P.</t>
        </is>
      </c>
      <c r="BC72" s="49" t="inlineStr">
        <is>
          <t>CCF CAJASAN</t>
        </is>
      </c>
      <c r="BD72" s="49" t="inlineStr">
        <is>
          <t>RIESGOS PROFESIONALES COLMENA S.A.</t>
        </is>
      </c>
      <c r="BE72" s="49" t="inlineStr">
        <is>
          <t>FONDO NACIONAL DEL AHORRO</t>
        </is>
      </c>
      <c r="BF72" s="49" t="n">
        <v>6.96</v>
      </c>
      <c r="BG72" s="49" t="n">
        <v>220</v>
      </c>
      <c r="BH72" s="49" t="n">
        <v>15</v>
      </c>
      <c r="BI72" s="49" t="inlineStr">
        <is>
          <t xml:space="preserve">0           </t>
        </is>
      </c>
      <c r="BJ72" s="49" t="inlineStr">
        <is>
          <t xml:space="preserve">NO APLICA                               </t>
        </is>
      </c>
      <c r="BK72" s="49" t="inlineStr">
        <is>
          <t>02</t>
        </is>
      </c>
      <c r="BL72" s="49" t="inlineStr">
        <is>
          <t xml:space="preserve">Caldas                                  </t>
        </is>
      </c>
      <c r="BM72" s="49" t="inlineStr">
        <is>
          <t>02</t>
        </is>
      </c>
      <c r="BN72" s="49" t="inlineStr">
        <is>
          <t xml:space="preserve">Supia                                   </t>
        </is>
      </c>
      <c r="BO72" s="49" t="inlineStr">
        <is>
          <t>0</t>
        </is>
      </c>
      <c r="BP72" s="49" t="inlineStr">
        <is>
          <t>NO APLICA</t>
        </is>
      </c>
      <c r="BQ72" s="49" t="inlineStr">
        <is>
          <t>0</t>
        </is>
      </c>
      <c r="BR72" s="49" t="inlineStr">
        <is>
          <t>NO APLICA</t>
        </is>
      </c>
      <c r="BS72" s="49" t="inlineStr">
        <is>
          <t>0</t>
        </is>
      </c>
      <c r="BT72" s="49" t="inlineStr">
        <is>
          <t>NO APLICA</t>
        </is>
      </c>
      <c r="BU72" s="49" t="inlineStr">
        <is>
          <t>0</t>
        </is>
      </c>
      <c r="BV72" s="49" t="inlineStr">
        <is>
          <t>NO APLICA</t>
        </is>
      </c>
      <c r="BW72" s="49" t="inlineStr">
        <is>
          <t>No</t>
        </is>
      </c>
      <c r="BX72" s="49" t="inlineStr">
        <is>
          <t xml:space="preserve">No Aplica                     </t>
        </is>
      </c>
    </row>
    <row r="73" ht="15" customHeight="1">
      <c r="A73" s="49" t="n">
        <v>1098683398</v>
      </c>
      <c r="B73" s="49" t="inlineStr">
        <is>
          <t xml:space="preserve"> 130</t>
        </is>
      </c>
      <c r="C73" s="49" t="n">
        <v>1098683398</v>
      </c>
      <c r="D73" s="49" t="inlineStr">
        <is>
          <t>CC</t>
        </is>
      </c>
      <c r="E73" s="49" t="inlineStr">
        <is>
          <t>RIVEROS RUEDA ORLANDO</t>
        </is>
      </c>
      <c r="F73" s="49" t="inlineStr">
        <is>
          <t>M</t>
        </is>
      </c>
      <c r="G73" s="49" t="inlineStr">
        <is>
          <t xml:space="preserve">A  </t>
        </is>
      </c>
      <c r="H73" s="49" t="inlineStr">
        <is>
          <t>+</t>
        </is>
      </c>
      <c r="I73" s="49" t="inlineStr">
        <is>
          <t>DESCONOCIDO</t>
        </is>
      </c>
      <c r="J73" s="49" t="inlineStr">
        <is>
          <t xml:space="preserve">BUCARAMANGA                   </t>
        </is>
      </c>
      <c r="K73" s="49" t="n">
        <v>0</v>
      </c>
      <c r="L73" s="49" t="inlineStr">
        <is>
          <t>06/03/1990</t>
        </is>
      </c>
      <c r="M73" s="49" t="inlineStr">
        <is>
          <t xml:space="preserve">SUPIA                         </t>
        </is>
      </c>
      <c r="N73" s="49" t="inlineStr">
        <is>
          <t xml:space="preserve">0000                </t>
        </is>
      </c>
      <c r="O73" s="49" t="inlineStr">
        <is>
          <t xml:space="preserve">3125298273   </t>
        </is>
      </c>
      <c r="P73" s="49" t="inlineStr">
        <is>
          <t xml:space="preserve">CL 63 21 28 </t>
        </is>
      </c>
      <c r="Q73" s="49" t="inlineStr">
        <is>
          <t>orlandorr9@hotmail.com</t>
        </is>
      </c>
      <c r="R73" s="49" t="inlineStr">
        <is>
          <t>COORDINADOR AMBIENTAL</t>
        </is>
      </c>
      <c r="S73" s="108" t="n">
        <v>91.66666600000001</v>
      </c>
      <c r="T73" s="108" t="n">
        <v>0</v>
      </c>
      <c r="U73" s="108" t="n">
        <v>220</v>
      </c>
      <c r="V73" s="49" t="inlineStr">
        <is>
          <t>CONSIG. CTA AHORROS</t>
        </is>
      </c>
      <c r="W73" s="49" t="inlineStr">
        <is>
          <t xml:space="preserve">BANCOLOMBIA S.A.              </t>
        </is>
      </c>
      <c r="X73" s="49" t="inlineStr">
        <is>
          <t xml:space="preserve">24849524131              </t>
        </is>
      </c>
      <c r="Y73" s="49" t="inlineStr">
        <is>
          <t xml:space="preserve">NO APLICA                     </t>
        </is>
      </c>
      <c r="Z73" s="49" t="inlineStr">
        <is>
          <t>CM0200-ESG</t>
        </is>
      </c>
      <c r="AA73" s="49" t="inlineStr">
        <is>
          <t>CM0200-ESGVP</t>
        </is>
      </c>
      <c r="AB73" s="49" t="inlineStr">
        <is>
          <t xml:space="preserve">01 </t>
        </is>
      </c>
      <c r="AC73" s="49" t="inlineStr">
        <is>
          <t xml:space="preserve">                </t>
        </is>
      </c>
      <c r="AD73" s="49" t="inlineStr">
        <is>
          <t>LEY 50</t>
        </is>
      </c>
      <c r="AE73" s="49" t="inlineStr">
        <is>
          <t>No</t>
        </is>
      </c>
      <c r="AF73" s="49" t="inlineStr">
        <is>
          <t>Normal</t>
        </is>
      </c>
      <c r="AG73" s="49" t="n"/>
      <c r="AH73" s="49" t="inlineStr">
        <is>
          <t>Si</t>
        </is>
      </c>
      <c r="AI73" s="49" t="inlineStr">
        <is>
          <t xml:space="preserve">Normal              </t>
        </is>
      </c>
      <c r="AJ73" s="49" t="inlineStr">
        <is>
          <t xml:space="preserve">Quincenal                     </t>
        </is>
      </c>
      <c r="AK73" s="49" t="inlineStr">
        <is>
          <t>NO</t>
        </is>
      </c>
      <c r="AL73" s="49" t="inlineStr">
        <is>
          <t>NO</t>
        </is>
      </c>
      <c r="AM73" s="49" t="inlineStr">
        <is>
          <t>01/07/2025</t>
        </is>
      </c>
      <c r="AN73" s="49" t="n"/>
      <c r="AO73" s="49" t="n"/>
      <c r="AP73" s="49" t="inlineStr">
        <is>
          <t xml:space="preserve">NO APLICA                </t>
        </is>
      </c>
      <c r="AQ73" s="49" t="n">
        <v>189</v>
      </c>
      <c r="AR73" s="49" t="inlineStr">
        <is>
          <t>01</t>
        </is>
      </c>
      <c r="AS73" s="49" t="n">
        <v>1</v>
      </c>
      <c r="AT73" s="49" t="inlineStr">
        <is>
          <t>No</t>
        </is>
      </c>
      <c r="AU73" s="49" t="n">
        <v>0</v>
      </c>
      <c r="AV73" s="108" t="n">
        <v>0</v>
      </c>
      <c r="AW73" s="108" t="n">
        <v>0</v>
      </c>
      <c r="AX73" s="108" t="n">
        <v>0</v>
      </c>
      <c r="AY73" s="49" t="inlineStr">
        <is>
          <t>No</t>
        </is>
      </c>
      <c r="AZ73" s="49" t="n">
        <v>0</v>
      </c>
      <c r="BA73" s="49" t="inlineStr">
        <is>
          <t>SURA E.P.S.</t>
        </is>
      </c>
      <c r="BB73" s="49" t="inlineStr">
        <is>
          <t>PROTECCION A.F.P</t>
        </is>
      </c>
      <c r="BC73" s="49" t="inlineStr">
        <is>
          <t>CCF DE CALDAS</t>
        </is>
      </c>
      <c r="BD73" s="49" t="inlineStr">
        <is>
          <t>RIESGOS PROFESIONALES COLMENA S.A.</t>
        </is>
      </c>
      <c r="BE73" s="49" t="inlineStr">
        <is>
          <t>PORVENIR CESANTIAS</t>
        </is>
      </c>
      <c r="BF73" s="49" t="n">
        <v>6.96</v>
      </c>
      <c r="BG73" s="49" t="n">
        <v>220</v>
      </c>
      <c r="BH73" s="49" t="n">
        <v>15</v>
      </c>
      <c r="BI73" s="49" t="inlineStr">
        <is>
          <t xml:space="preserve">0           </t>
        </is>
      </c>
      <c r="BJ73" s="49" t="inlineStr">
        <is>
          <t xml:space="preserve">NO APLICA                               </t>
        </is>
      </c>
      <c r="BK73" s="49" t="inlineStr">
        <is>
          <t>02</t>
        </is>
      </c>
      <c r="BL73" s="49" t="inlineStr">
        <is>
          <t xml:space="preserve">Caldas                                  </t>
        </is>
      </c>
      <c r="BM73" s="49" t="inlineStr">
        <is>
          <t>02</t>
        </is>
      </c>
      <c r="BN73" s="49" t="inlineStr">
        <is>
          <t xml:space="preserve">Supia                                   </t>
        </is>
      </c>
      <c r="BO73" s="49" t="inlineStr">
        <is>
          <t>0</t>
        </is>
      </c>
      <c r="BP73" s="49" t="inlineStr">
        <is>
          <t>NO APLICA</t>
        </is>
      </c>
      <c r="BQ73" s="49" t="inlineStr">
        <is>
          <t>0</t>
        </is>
      </c>
      <c r="BR73" s="49" t="inlineStr">
        <is>
          <t>NO APLICA</t>
        </is>
      </c>
      <c r="BS73" s="49" t="inlineStr">
        <is>
          <t>0</t>
        </is>
      </c>
      <c r="BT73" s="49" t="inlineStr">
        <is>
          <t>NO APLICA</t>
        </is>
      </c>
      <c r="BU73" s="49" t="inlineStr">
        <is>
          <t>0</t>
        </is>
      </c>
      <c r="BV73" s="49" t="inlineStr">
        <is>
          <t>NO APLICA</t>
        </is>
      </c>
      <c r="BW73" s="49" t="inlineStr">
        <is>
          <t>No</t>
        </is>
      </c>
      <c r="BX73" s="49" t="inlineStr">
        <is>
          <t xml:space="preserve">No Aplica                     </t>
        </is>
      </c>
    </row>
    <row r="74" ht="15" customHeight="1">
      <c r="A74" s="49" t="n">
        <v>1098688603</v>
      </c>
      <c r="B74" s="49" t="inlineStr">
        <is>
          <t xml:space="preserve"> 134</t>
        </is>
      </c>
      <c r="C74" s="49" t="n">
        <v>1098688603</v>
      </c>
      <c r="D74" s="49" t="inlineStr">
        <is>
          <t>CC</t>
        </is>
      </c>
      <c r="E74" s="49" t="inlineStr">
        <is>
          <t>OTERO CASTILLO IVON JOHANA</t>
        </is>
      </c>
      <c r="F74" s="49" t="inlineStr">
        <is>
          <t>F</t>
        </is>
      </c>
      <c r="G74" s="49" t="inlineStr">
        <is>
          <t xml:space="preserve">A  </t>
        </is>
      </c>
      <c r="H74" s="49" t="inlineStr">
        <is>
          <t>+</t>
        </is>
      </c>
      <c r="I74" s="49" t="inlineStr">
        <is>
          <t>SOLTERO</t>
        </is>
      </c>
      <c r="J74" s="49" t="inlineStr">
        <is>
          <t xml:space="preserve">BUCARAMANGA                   </t>
        </is>
      </c>
      <c r="K74" s="49" t="n">
        <v>0</v>
      </c>
      <c r="L74" s="49" t="inlineStr">
        <is>
          <t>09/05/1990</t>
        </is>
      </c>
      <c r="M74" s="49" t="inlineStr">
        <is>
          <t xml:space="preserve">SUPIA                         </t>
        </is>
      </c>
      <c r="N74" s="49" t="inlineStr">
        <is>
          <t xml:space="preserve">0000                </t>
        </is>
      </c>
      <c r="O74" s="49" t="inlineStr">
        <is>
          <t>3142436745</t>
        </is>
      </c>
      <c r="P74" s="49" t="inlineStr">
        <is>
          <t>CR 59  45d 23</t>
        </is>
      </c>
      <c r="Q74" s="49" t="inlineStr">
        <is>
          <t xml:space="preserve">ivonoterocastillo@gmail.com      </t>
        </is>
      </c>
      <c r="R74" s="49" t="inlineStr">
        <is>
          <t>GEOLOGO (A) SENIOR</t>
        </is>
      </c>
      <c r="S74" s="108" t="n">
        <v>91.66666600000001</v>
      </c>
      <c r="T74" s="108" t="n">
        <v>0</v>
      </c>
      <c r="U74" s="108" t="n">
        <v>220</v>
      </c>
      <c r="V74" s="49" t="inlineStr">
        <is>
          <t>CONSIG. CTA AHORROS</t>
        </is>
      </c>
      <c r="W74" s="49" t="inlineStr">
        <is>
          <t xml:space="preserve">BANCOLOMBIA S.A.              </t>
        </is>
      </c>
      <c r="X74" s="49" t="inlineStr">
        <is>
          <t xml:space="preserve">00173693826              </t>
        </is>
      </c>
      <c r="Y74" s="49" t="inlineStr">
        <is>
          <t xml:space="preserve">NO APLICA                     </t>
        </is>
      </c>
      <c r="Z74" s="49" t="inlineStr">
        <is>
          <t>CM0100-EXP</t>
        </is>
      </c>
      <c r="AA74" s="49" t="inlineStr">
        <is>
          <t>CM0100-EXP</t>
        </is>
      </c>
      <c r="AB74" s="49" t="inlineStr">
        <is>
          <t xml:space="preserve">01 </t>
        </is>
      </c>
      <c r="AC74" s="49" t="inlineStr">
        <is>
          <t xml:space="preserve">                </t>
        </is>
      </c>
      <c r="AD74" s="49" t="inlineStr">
        <is>
          <t>LEY 50</t>
        </is>
      </c>
      <c r="AE74" s="49" t="inlineStr">
        <is>
          <t>No</t>
        </is>
      </c>
      <c r="AF74" s="49" t="inlineStr">
        <is>
          <t>Normal</t>
        </is>
      </c>
      <c r="AG74" s="49" t="n"/>
      <c r="AH74" s="49" t="inlineStr">
        <is>
          <t>Si</t>
        </is>
      </c>
      <c r="AI74" s="49" t="inlineStr">
        <is>
          <t xml:space="preserve">Normal              </t>
        </is>
      </c>
      <c r="AJ74" s="49" t="inlineStr">
        <is>
          <t xml:space="preserve">Quincenal                     </t>
        </is>
      </c>
      <c r="AK74" s="49" t="inlineStr">
        <is>
          <t>NO</t>
        </is>
      </c>
      <c r="AL74" s="49" t="inlineStr">
        <is>
          <t>NO</t>
        </is>
      </c>
      <c r="AM74" s="49" t="inlineStr">
        <is>
          <t>04/08/2025</t>
        </is>
      </c>
      <c r="AN74" s="49" t="n"/>
      <c r="AO74" s="49" t="n"/>
      <c r="AP74" s="49" t="inlineStr">
        <is>
          <t xml:space="preserve">NO APLICA                </t>
        </is>
      </c>
      <c r="AQ74" s="49" t="n">
        <v>192</v>
      </c>
      <c r="AR74" s="49" t="inlineStr">
        <is>
          <t>01</t>
        </is>
      </c>
      <c r="AS74" s="49" t="n">
        <v>1</v>
      </c>
      <c r="AT74" s="49" t="inlineStr">
        <is>
          <t>No</t>
        </is>
      </c>
      <c r="AU74" s="49" t="n">
        <v>0</v>
      </c>
      <c r="AV74" s="108" t="n">
        <v>0</v>
      </c>
      <c r="AW74" s="108" t="n">
        <v>0</v>
      </c>
      <c r="AX74" s="108" t="n">
        <v>0</v>
      </c>
      <c r="AY74" s="49" t="inlineStr">
        <is>
          <t>No</t>
        </is>
      </c>
      <c r="AZ74" s="49" t="n">
        <v>0</v>
      </c>
      <c r="BA74" s="49" t="inlineStr">
        <is>
          <t>NUEVA E.P.S</t>
        </is>
      </c>
      <c r="BB74" s="49" t="inlineStr">
        <is>
          <t>PROTECCION A.F.P</t>
        </is>
      </c>
      <c r="BC74" s="49" t="inlineStr">
        <is>
          <t>CCF COMFENALCO ANTIOQUIA</t>
        </is>
      </c>
      <c r="BD74" s="49" t="inlineStr">
        <is>
          <t>RIESGOS PROFESIONALES COLMENA S.A.</t>
        </is>
      </c>
      <c r="BE74" s="49" t="inlineStr">
        <is>
          <t>PROTECCION CESANTIAS</t>
        </is>
      </c>
      <c r="BF74" s="49" t="n">
        <v>6.96</v>
      </c>
      <c r="BG74" s="49" t="n">
        <v>220</v>
      </c>
      <c r="BH74" s="49" t="n">
        <v>15</v>
      </c>
      <c r="BI74" s="49" t="inlineStr">
        <is>
          <t xml:space="preserve">0           </t>
        </is>
      </c>
      <c r="BJ74" s="49" t="inlineStr">
        <is>
          <t xml:space="preserve">NO APLICA                               </t>
        </is>
      </c>
      <c r="BK74" s="49" t="inlineStr">
        <is>
          <t>02</t>
        </is>
      </c>
      <c r="BL74" s="49" t="inlineStr">
        <is>
          <t xml:space="preserve">Caldas                                  </t>
        </is>
      </c>
      <c r="BM74" s="49" t="inlineStr">
        <is>
          <t>02</t>
        </is>
      </c>
      <c r="BN74" s="49" t="inlineStr">
        <is>
          <t xml:space="preserve">Supia                                   </t>
        </is>
      </c>
      <c r="BO74" s="49" t="inlineStr">
        <is>
          <t>0</t>
        </is>
      </c>
      <c r="BP74" s="49" t="inlineStr">
        <is>
          <t>NO APLICA</t>
        </is>
      </c>
      <c r="BQ74" s="49" t="inlineStr">
        <is>
          <t>0</t>
        </is>
      </c>
      <c r="BR74" s="49" t="inlineStr">
        <is>
          <t>NO APLICA</t>
        </is>
      </c>
      <c r="BS74" s="49" t="inlineStr">
        <is>
          <t>0</t>
        </is>
      </c>
      <c r="BT74" s="49" t="inlineStr">
        <is>
          <t>NO APLICA</t>
        </is>
      </c>
      <c r="BU74" s="49" t="inlineStr">
        <is>
          <t>0</t>
        </is>
      </c>
      <c r="BV74" s="49" t="inlineStr">
        <is>
          <t>NO APLICA</t>
        </is>
      </c>
      <c r="BW74" s="49" t="inlineStr">
        <is>
          <t>No</t>
        </is>
      </c>
      <c r="BX74" s="49" t="inlineStr">
        <is>
          <t xml:space="preserve">No Aplica                     </t>
        </is>
      </c>
    </row>
    <row r="75" ht="30" customHeight="1">
      <c r="A75" s="49" t="n">
        <v>1100950267</v>
      </c>
      <c r="B75" s="49" t="inlineStr">
        <is>
          <t>008</t>
        </is>
      </c>
      <c r="C75" s="49" t="n">
        <v>1100950267</v>
      </c>
      <c r="D75" s="49" t="inlineStr">
        <is>
          <t>CC</t>
        </is>
      </c>
      <c r="E75" s="49" t="inlineStr">
        <is>
          <t>PEDROZA URIBE LAURA MARCELA</t>
        </is>
      </c>
      <c r="F75" s="49" t="inlineStr">
        <is>
          <t>F</t>
        </is>
      </c>
      <c r="G75" s="49" t="inlineStr">
        <is>
          <t xml:space="preserve">O  </t>
        </is>
      </c>
      <c r="H75" s="49" t="inlineStr">
        <is>
          <t>+</t>
        </is>
      </c>
      <c r="I75" s="49" t="inlineStr">
        <is>
          <t>SOLTERO</t>
        </is>
      </c>
      <c r="J75" s="49" t="inlineStr">
        <is>
          <t xml:space="preserve">SAN GIL                       </t>
        </is>
      </c>
      <c r="K75" s="49" t="n">
        <v>0</v>
      </c>
      <c r="L75" s="49" t="inlineStr">
        <is>
          <t>20/01/1987</t>
        </is>
      </c>
      <c r="M75" s="49" t="inlineStr">
        <is>
          <t xml:space="preserve">MEDELLÍN                      </t>
        </is>
      </c>
      <c r="N75" s="49" t="inlineStr">
        <is>
          <t xml:space="preserve">3053529335          </t>
        </is>
      </c>
      <c r="O75" s="49" t="inlineStr">
        <is>
          <t>3053529335</t>
        </is>
      </c>
      <c r="P75" s="49" t="inlineStr">
        <is>
          <t xml:space="preserve">CALLE 5 SUR 32-106                      </t>
        </is>
      </c>
      <c r="Q75" s="49" t="inlineStr">
        <is>
          <t>l.pedroza@collectivemining.com</t>
        </is>
      </c>
      <c r="R75" s="49" t="inlineStr">
        <is>
          <t>COORDINADORA PLANEAMIENTO TERRITORIAL</t>
        </is>
      </c>
      <c r="S75" s="108" t="n">
        <v>91.66666600000001</v>
      </c>
      <c r="T75" s="108" t="n">
        <v>0</v>
      </c>
      <c r="U75" s="108" t="n">
        <v>220</v>
      </c>
      <c r="V75" s="49" t="inlineStr">
        <is>
          <t>CONSIG. CTA AHORROS</t>
        </is>
      </c>
      <c r="W75" s="49" t="inlineStr">
        <is>
          <t xml:space="preserve">BANCOLOMBIA S.A.              </t>
        </is>
      </c>
      <c r="X75" s="49" t="inlineStr">
        <is>
          <t xml:space="preserve">09723706341              </t>
        </is>
      </c>
      <c r="Y75" s="49" t="inlineStr">
        <is>
          <t xml:space="preserve">NO APLICA                     </t>
        </is>
      </c>
      <c r="Z75" s="49" t="inlineStr">
        <is>
          <t>CM0205-ESG</t>
        </is>
      </c>
      <c r="AA75" s="49" t="inlineStr">
        <is>
          <t>CM0205-ESGTPL</t>
        </is>
      </c>
      <c r="AB75" s="49" t="inlineStr">
        <is>
          <t xml:space="preserve">01 </t>
        </is>
      </c>
      <c r="AC75" s="49" t="inlineStr">
        <is>
          <t xml:space="preserve">0               </t>
        </is>
      </c>
      <c r="AD75" s="49" t="inlineStr">
        <is>
          <t>LEY 50</t>
        </is>
      </c>
      <c r="AE75" s="49" t="inlineStr">
        <is>
          <t>No</t>
        </is>
      </c>
      <c r="AF75" s="49" t="inlineStr">
        <is>
          <t>Normal</t>
        </is>
      </c>
      <c r="AG75" s="49" t="n"/>
      <c r="AH75" s="49" t="inlineStr">
        <is>
          <t>Si</t>
        </is>
      </c>
      <c r="AI75" s="49" t="inlineStr">
        <is>
          <t xml:space="preserve">Normal              </t>
        </is>
      </c>
      <c r="AJ75" s="49" t="inlineStr">
        <is>
          <t xml:space="preserve">Quincenal                     </t>
        </is>
      </c>
      <c r="AK75" s="49" t="inlineStr">
        <is>
          <t>NO</t>
        </is>
      </c>
      <c r="AL75" s="49" t="inlineStr">
        <is>
          <t>NO</t>
        </is>
      </c>
      <c r="AM75" s="49" t="inlineStr">
        <is>
          <t>15/10/2020</t>
        </is>
      </c>
      <c r="AN75" s="49" t="n"/>
      <c r="AO75" s="49" t="n"/>
      <c r="AP75" s="49" t="inlineStr">
        <is>
          <t xml:space="preserve">NO APLICA                </t>
        </is>
      </c>
      <c r="AQ75" s="49" t="n">
        <v>56</v>
      </c>
      <c r="AR75" s="49" t="inlineStr">
        <is>
          <t>01</t>
        </is>
      </c>
      <c r="AS75" s="49" t="n">
        <v>1</v>
      </c>
      <c r="AT75" s="49" t="inlineStr">
        <is>
          <t>No</t>
        </is>
      </c>
      <c r="AU75" s="49" t="n">
        <v>0</v>
      </c>
      <c r="AV75" s="108" t="n">
        <v>0</v>
      </c>
      <c r="AW75" s="108" t="n">
        <v>0</v>
      </c>
      <c r="AX75" s="108" t="n">
        <v>0</v>
      </c>
      <c r="AY75" s="49" t="inlineStr">
        <is>
          <t>No</t>
        </is>
      </c>
      <c r="AZ75" s="49" t="n">
        <v>401968</v>
      </c>
      <c r="BA75" s="49" t="inlineStr">
        <is>
          <t>SURA E.P.S.</t>
        </is>
      </c>
      <c r="BB75" s="49" t="inlineStr">
        <is>
          <t>COLPENSIONES - I.S.S. PENSION</t>
        </is>
      </c>
      <c r="BC75" s="49" t="inlineStr">
        <is>
          <t>CCF COMFENALCO ANTIOQUIA</t>
        </is>
      </c>
      <c r="BD75" s="49" t="inlineStr">
        <is>
          <t>RIESGOS PROFESIONALES COLMENA S.A.</t>
        </is>
      </c>
      <c r="BE75" s="49" t="inlineStr">
        <is>
          <t>PORVENIR CESANTIAS</t>
        </is>
      </c>
      <c r="BF75" s="49" t="n">
        <v>6.96</v>
      </c>
      <c r="BG75" s="49" t="n">
        <v>220</v>
      </c>
      <c r="BH75" s="49" t="n">
        <v>15</v>
      </c>
      <c r="BI75" s="49" t="inlineStr">
        <is>
          <t xml:space="preserve">0           </t>
        </is>
      </c>
      <c r="BJ75" s="49" t="inlineStr">
        <is>
          <t xml:space="preserve">NO APLICA                               </t>
        </is>
      </c>
      <c r="BK75" s="49" t="inlineStr">
        <is>
          <t>02</t>
        </is>
      </c>
      <c r="BL75" s="49" t="inlineStr">
        <is>
          <t xml:space="preserve">Caldas                                  </t>
        </is>
      </c>
      <c r="BM75" s="49" t="inlineStr">
        <is>
          <t>02</t>
        </is>
      </c>
      <c r="BN75" s="49" t="inlineStr">
        <is>
          <t xml:space="preserve">Supia                                   </t>
        </is>
      </c>
      <c r="BO75" s="49" t="inlineStr">
        <is>
          <t>0</t>
        </is>
      </c>
      <c r="BP75" s="49" t="inlineStr">
        <is>
          <t>NO APLICA</t>
        </is>
      </c>
      <c r="BQ75" s="49" t="inlineStr">
        <is>
          <t>0</t>
        </is>
      </c>
      <c r="BR75" s="49" t="inlineStr">
        <is>
          <t>NO APLICA</t>
        </is>
      </c>
      <c r="BS75" s="49" t="inlineStr">
        <is>
          <t>0</t>
        </is>
      </c>
      <c r="BT75" s="49" t="inlineStr">
        <is>
          <t>NO APLICA</t>
        </is>
      </c>
      <c r="BU75" s="49" t="inlineStr">
        <is>
          <t>0</t>
        </is>
      </c>
      <c r="BV75" s="49" t="inlineStr">
        <is>
          <t>NO APLICA</t>
        </is>
      </c>
      <c r="BW75" s="49" t="inlineStr">
        <is>
          <t>No</t>
        </is>
      </c>
      <c r="BX75" s="49" t="inlineStr">
        <is>
          <t xml:space="preserve">No Aplica                     </t>
        </is>
      </c>
    </row>
    <row r="76" ht="22.5" customHeight="1">
      <c r="A76" s="49" t="n">
        <v>1101440352</v>
      </c>
      <c r="B76" s="49" t="inlineStr">
        <is>
          <t>051</t>
        </is>
      </c>
      <c r="C76" s="49" t="n">
        <v>1101440352</v>
      </c>
      <c r="D76" s="49" t="inlineStr">
        <is>
          <t>CC</t>
        </is>
      </c>
      <c r="E76" s="49" t="inlineStr">
        <is>
          <t>BANQUEZ MATURANA MIGUEL</t>
        </is>
      </c>
      <c r="F76" s="49" t="inlineStr">
        <is>
          <t>M</t>
        </is>
      </c>
      <c r="G76" s="49" t="inlineStr">
        <is>
          <t xml:space="preserve">B  </t>
        </is>
      </c>
      <c r="H76" s="49" t="inlineStr">
        <is>
          <t>+</t>
        </is>
      </c>
      <c r="I76" s="49" t="inlineStr">
        <is>
          <t>CASADO</t>
        </is>
      </c>
      <c r="J76" s="49" t="inlineStr">
        <is>
          <t xml:space="preserve">SAN ONOFRE                    </t>
        </is>
      </c>
      <c r="K76" s="49" t="n">
        <v>0</v>
      </c>
      <c r="L76" s="49" t="inlineStr">
        <is>
          <t>24/11/1984</t>
        </is>
      </c>
      <c r="M76" s="49" t="inlineStr">
        <is>
          <t xml:space="preserve">SUPIA                         </t>
        </is>
      </c>
      <c r="N76" s="49" t="inlineStr">
        <is>
          <t xml:space="preserve">NA                  </t>
        </is>
      </c>
      <c r="O76" s="49" t="inlineStr">
        <is>
          <t>3104031127</t>
        </is>
      </c>
      <c r="P76" s="49" t="inlineStr">
        <is>
          <t xml:space="preserve">CR 12 BE 21 </t>
        </is>
      </c>
      <c r="Q76" s="49" t="inlineStr">
        <is>
          <t>banquez1984@gmail.com</t>
        </is>
      </c>
      <c r="R76" s="49" t="inlineStr">
        <is>
          <t>GEOLOGO (A) SENIOR</t>
        </is>
      </c>
      <c r="S76" s="108" t="n">
        <v>91.66666600000001</v>
      </c>
      <c r="T76" s="108" t="n">
        <v>0</v>
      </c>
      <c r="U76" s="108" t="n">
        <v>220</v>
      </c>
      <c r="V76" s="49" t="inlineStr">
        <is>
          <t>CONSIG. CTA AHORROS</t>
        </is>
      </c>
      <c r="W76" s="49" t="inlineStr">
        <is>
          <t xml:space="preserve">BANCO DAVIVIENDA S.A.         </t>
        </is>
      </c>
      <c r="X76" s="49" t="inlineStr">
        <is>
          <t xml:space="preserve">550128100066546          </t>
        </is>
      </c>
      <c r="Y76" s="49" t="inlineStr">
        <is>
          <t xml:space="preserve">NO APLICA                     </t>
        </is>
      </c>
      <c r="Z76" s="49" t="inlineStr">
        <is>
          <t>CM0100-EXP</t>
        </is>
      </c>
      <c r="AA76" s="49" t="inlineStr">
        <is>
          <t>CM0100-EXP</t>
        </is>
      </c>
      <c r="AB76" s="49" t="inlineStr">
        <is>
          <t xml:space="preserve">01 </t>
        </is>
      </c>
      <c r="AC76" s="49" t="inlineStr">
        <is>
          <t xml:space="preserve">                </t>
        </is>
      </c>
      <c r="AD76" s="49" t="inlineStr">
        <is>
          <t>LEY 50</t>
        </is>
      </c>
      <c r="AE76" s="49" t="inlineStr">
        <is>
          <t>No</t>
        </is>
      </c>
      <c r="AF76" s="49" t="inlineStr">
        <is>
          <t>Normal</t>
        </is>
      </c>
      <c r="AG76" s="49" t="n"/>
      <c r="AH76" s="49" t="inlineStr">
        <is>
          <t>Si</t>
        </is>
      </c>
      <c r="AI76" s="49" t="inlineStr">
        <is>
          <t xml:space="preserve">Normal              </t>
        </is>
      </c>
      <c r="AJ76" s="49" t="inlineStr">
        <is>
          <t xml:space="preserve">Quincenal                     </t>
        </is>
      </c>
      <c r="AK76" s="49" t="inlineStr">
        <is>
          <t>NO</t>
        </is>
      </c>
      <c r="AL76" s="49" t="inlineStr">
        <is>
          <t>NO</t>
        </is>
      </c>
      <c r="AM76" s="49" t="inlineStr">
        <is>
          <t>09/05/2023</t>
        </is>
      </c>
      <c r="AN76" s="49" t="n"/>
      <c r="AO76" s="49" t="n"/>
      <c r="AP76" s="49" t="inlineStr">
        <is>
          <t xml:space="preserve">NO APLICA                </t>
        </is>
      </c>
      <c r="AQ76" s="49" t="n">
        <v>94</v>
      </c>
      <c r="AR76" s="49" t="inlineStr">
        <is>
          <t>01</t>
        </is>
      </c>
      <c r="AS76" s="49" t="n">
        <v>1</v>
      </c>
      <c r="AT76" s="49" t="inlineStr">
        <is>
          <t>No</t>
        </is>
      </c>
      <c r="AU76" s="49" t="n">
        <v>0</v>
      </c>
      <c r="AV76" s="108" t="n">
        <v>0</v>
      </c>
      <c r="AW76" s="108" t="n">
        <v>0</v>
      </c>
      <c r="AX76" s="108" t="n">
        <v>0</v>
      </c>
      <c r="AY76" s="49" t="inlineStr">
        <is>
          <t>No</t>
        </is>
      </c>
      <c r="AZ76" s="49" t="n">
        <v>396225</v>
      </c>
      <c r="BA76" s="49" t="inlineStr">
        <is>
          <t>SURA E.P.S.</t>
        </is>
      </c>
      <c r="BB76" s="49" t="inlineStr">
        <is>
          <t>PROTECCION A.F.P</t>
        </is>
      </c>
      <c r="BC76" s="49" t="inlineStr">
        <is>
          <t>CCF DE CALDAS</t>
        </is>
      </c>
      <c r="BD76" s="49" t="inlineStr">
        <is>
          <t>RIESGOS PROFESIONALES COLMENA S.A.</t>
        </is>
      </c>
      <c r="BE76" s="49" t="inlineStr">
        <is>
          <t>PROTECCION CESANTIAS</t>
        </is>
      </c>
      <c r="BF76" s="49" t="n">
        <v>6.96</v>
      </c>
      <c r="BG76" s="49" t="n">
        <v>220</v>
      </c>
      <c r="BH76" s="49" t="n">
        <v>15</v>
      </c>
      <c r="BI76" s="49" t="inlineStr">
        <is>
          <t xml:space="preserve">0           </t>
        </is>
      </c>
      <c r="BJ76" s="49" t="inlineStr">
        <is>
          <t xml:space="preserve">NO APLICA                               </t>
        </is>
      </c>
      <c r="BK76" s="49" t="inlineStr">
        <is>
          <t>02</t>
        </is>
      </c>
      <c r="BL76" s="49" t="inlineStr">
        <is>
          <t xml:space="preserve">Caldas                                  </t>
        </is>
      </c>
      <c r="BM76" s="49" t="inlineStr">
        <is>
          <t>02</t>
        </is>
      </c>
      <c r="BN76" s="49" t="inlineStr">
        <is>
          <t xml:space="preserve">Supia                                   </t>
        </is>
      </c>
      <c r="BO76" s="49" t="inlineStr">
        <is>
          <t>0</t>
        </is>
      </c>
      <c r="BP76" s="49" t="inlineStr">
        <is>
          <t>NO APLICA</t>
        </is>
      </c>
      <c r="BQ76" s="49" t="inlineStr">
        <is>
          <t>0</t>
        </is>
      </c>
      <c r="BR76" s="49" t="inlineStr">
        <is>
          <t>NO APLICA</t>
        </is>
      </c>
      <c r="BS76" s="49" t="inlineStr">
        <is>
          <t>0</t>
        </is>
      </c>
      <c r="BT76" s="49" t="inlineStr">
        <is>
          <t>NO APLICA</t>
        </is>
      </c>
      <c r="BU76" s="49" t="inlineStr">
        <is>
          <t>0</t>
        </is>
      </c>
      <c r="BV76" s="49" t="inlineStr">
        <is>
          <t>NO APLICA</t>
        </is>
      </c>
      <c r="BW76" s="49" t="inlineStr">
        <is>
          <t>No</t>
        </is>
      </c>
      <c r="BX76" s="49" t="inlineStr">
        <is>
          <t xml:space="preserve">No Aplica                     </t>
        </is>
      </c>
    </row>
    <row r="77" ht="37.5" customHeight="1">
      <c r="A77" s="49" t="n">
        <v>1101441172</v>
      </c>
      <c r="B77" s="49" t="inlineStr">
        <is>
          <t xml:space="preserve"> 109</t>
        </is>
      </c>
      <c r="C77" s="49" t="n">
        <v>1101441172</v>
      </c>
      <c r="D77" s="49" t="inlineStr">
        <is>
          <t>CC</t>
        </is>
      </c>
      <c r="E77" s="49" t="inlineStr">
        <is>
          <t>CUELLO TORRES OSCAR BENITO</t>
        </is>
      </c>
      <c r="F77" s="49" t="inlineStr">
        <is>
          <t>M</t>
        </is>
      </c>
      <c r="G77" s="49" t="inlineStr">
        <is>
          <t xml:space="preserve">A  </t>
        </is>
      </c>
      <c r="H77" s="49" t="inlineStr">
        <is>
          <t>+</t>
        </is>
      </c>
      <c r="I77" s="49" t="inlineStr">
        <is>
          <t>UNION LIBRE</t>
        </is>
      </c>
      <c r="J77" s="49" t="inlineStr">
        <is>
          <t xml:space="preserve">SAN ONOFRE                    </t>
        </is>
      </c>
      <c r="K77" s="49" t="n">
        <v>0</v>
      </c>
      <c r="L77" s="49" t="inlineStr">
        <is>
          <t>16/06/1986</t>
        </is>
      </c>
      <c r="M77" s="49" t="inlineStr">
        <is>
          <t xml:space="preserve">SUPIA                         </t>
        </is>
      </c>
      <c r="N77" s="49" t="inlineStr">
        <is>
          <t xml:space="preserve">0                   </t>
        </is>
      </c>
      <c r="O77" s="49" t="inlineStr">
        <is>
          <t>3044907142</t>
        </is>
      </c>
      <c r="P77" s="49" t="inlineStr">
        <is>
          <t>CR 85 66 35 AP 18 602</t>
        </is>
      </c>
      <c r="Q77" s="49" t="inlineStr">
        <is>
          <t>oscarbcuellot@gmail.com</t>
        </is>
      </c>
      <c r="R77" s="49" t="inlineStr">
        <is>
          <t>COORDINADOR DE PLANEAMIENTO Y DESARROLLO MINERO</t>
        </is>
      </c>
      <c r="S77" s="108" t="n">
        <v>91.66666600000001</v>
      </c>
      <c r="T77" s="108" t="n">
        <v>0</v>
      </c>
      <c r="U77" s="108" t="n">
        <v>220</v>
      </c>
      <c r="V77" s="49" t="inlineStr">
        <is>
          <t>CONSIG. CTA AHORROS</t>
        </is>
      </c>
      <c r="W77" s="49" t="inlineStr">
        <is>
          <t xml:space="preserve">BANCO DAVIVIENDA S.A.         </t>
        </is>
      </c>
      <c r="X77" s="49" t="inlineStr">
        <is>
          <t xml:space="preserve">488458097620             </t>
        </is>
      </c>
      <c r="Y77" s="49" t="inlineStr">
        <is>
          <t xml:space="preserve">NO APLICA                     </t>
        </is>
      </c>
      <c r="Z77" s="49" t="inlineStr">
        <is>
          <t>CM0203-ESG</t>
        </is>
      </c>
      <c r="AA77" s="49" t="inlineStr">
        <is>
          <t>CM0203-ESGFORM</t>
        </is>
      </c>
      <c r="AB77" s="49" t="inlineStr">
        <is>
          <t xml:space="preserve">01 </t>
        </is>
      </c>
      <c r="AC77" s="49" t="inlineStr">
        <is>
          <t xml:space="preserve">                </t>
        </is>
      </c>
      <c r="AD77" s="49" t="inlineStr">
        <is>
          <t>LEY 50</t>
        </is>
      </c>
      <c r="AE77" s="49" t="inlineStr">
        <is>
          <t>No</t>
        </is>
      </c>
      <c r="AF77" s="49" t="inlineStr">
        <is>
          <t>Normal</t>
        </is>
      </c>
      <c r="AG77" s="49" t="n"/>
      <c r="AH77" s="49" t="inlineStr">
        <is>
          <t>Si</t>
        </is>
      </c>
      <c r="AI77" s="49" t="inlineStr">
        <is>
          <t xml:space="preserve">Normal              </t>
        </is>
      </c>
      <c r="AJ77" s="49" t="inlineStr">
        <is>
          <t xml:space="preserve">Quincenal                     </t>
        </is>
      </c>
      <c r="AK77" s="49" t="inlineStr">
        <is>
          <t>NO</t>
        </is>
      </c>
      <c r="AL77" s="49" t="inlineStr">
        <is>
          <t>NO</t>
        </is>
      </c>
      <c r="AM77" s="49" t="inlineStr">
        <is>
          <t>03/03/2025</t>
        </is>
      </c>
      <c r="AN77" s="49" t="n"/>
      <c r="AO77" s="49" t="n"/>
      <c r="AP77" s="49" t="inlineStr">
        <is>
          <t xml:space="preserve">NO APLICA                </t>
        </is>
      </c>
      <c r="AQ77" s="49" t="n">
        <v>166</v>
      </c>
      <c r="AR77" s="49" t="inlineStr">
        <is>
          <t>01</t>
        </is>
      </c>
      <c r="AS77" s="49" t="n">
        <v>1</v>
      </c>
      <c r="AT77" s="49" t="inlineStr">
        <is>
          <t>No</t>
        </is>
      </c>
      <c r="AU77" s="49" t="n">
        <v>0</v>
      </c>
      <c r="AV77" s="108" t="n">
        <v>0</v>
      </c>
      <c r="AW77" s="108" t="n">
        <v>0</v>
      </c>
      <c r="AX77" s="108" t="n">
        <v>0</v>
      </c>
      <c r="AY77" s="49" t="inlineStr">
        <is>
          <t>No</t>
        </is>
      </c>
      <c r="AZ77" s="49" t="n">
        <v>0</v>
      </c>
      <c r="BA77" s="49" t="inlineStr">
        <is>
          <t>SURA E.P.S.</t>
        </is>
      </c>
      <c r="BB77" s="49" t="inlineStr">
        <is>
          <t>COLPENSIONES - I.S.S. PENSION</t>
        </is>
      </c>
      <c r="BC77" s="49" t="inlineStr">
        <is>
          <t>CCF COMFENALCO ANTIOQUIA</t>
        </is>
      </c>
      <c r="BD77" s="49" t="inlineStr">
        <is>
          <t>RIESGOS PROFESIONALES COLMENA S.A.</t>
        </is>
      </c>
      <c r="BE77" s="49" t="inlineStr">
        <is>
          <t>PROTECCION CESANTIAS</t>
        </is>
      </c>
      <c r="BF77" s="49" t="n">
        <v>6.96</v>
      </c>
      <c r="BG77" s="49" t="n">
        <v>220</v>
      </c>
      <c r="BH77" s="49" t="n">
        <v>15</v>
      </c>
      <c r="BI77" s="49" t="inlineStr">
        <is>
          <t xml:space="preserve">0           </t>
        </is>
      </c>
      <c r="BJ77" s="49" t="inlineStr">
        <is>
          <t xml:space="preserve">NO APLICA                               </t>
        </is>
      </c>
      <c r="BK77" s="49" t="inlineStr">
        <is>
          <t xml:space="preserve">0           </t>
        </is>
      </c>
      <c r="BL77" s="49" t="inlineStr">
        <is>
          <t xml:space="preserve">NO APLICA                               </t>
        </is>
      </c>
      <c r="BM77" s="49" t="inlineStr">
        <is>
          <t xml:space="preserve">0           </t>
        </is>
      </c>
      <c r="BN77" s="49" t="inlineStr">
        <is>
          <t xml:space="preserve">NO APLICA                               </t>
        </is>
      </c>
      <c r="BO77" s="49" t="inlineStr">
        <is>
          <t>0</t>
        </is>
      </c>
      <c r="BP77" s="49" t="inlineStr">
        <is>
          <t>NO APLICA</t>
        </is>
      </c>
      <c r="BQ77" s="49" t="inlineStr">
        <is>
          <t>0</t>
        </is>
      </c>
      <c r="BR77" s="49" t="inlineStr">
        <is>
          <t>NO APLICA</t>
        </is>
      </c>
      <c r="BS77" s="49" t="inlineStr">
        <is>
          <t>0</t>
        </is>
      </c>
      <c r="BT77" s="49" t="inlineStr">
        <is>
          <t>NO APLICA</t>
        </is>
      </c>
      <c r="BU77" s="49" t="inlineStr">
        <is>
          <t>0</t>
        </is>
      </c>
      <c r="BV77" s="49" t="inlineStr">
        <is>
          <t>NO APLICA</t>
        </is>
      </c>
      <c r="BW77" s="49" t="inlineStr">
        <is>
          <t>No</t>
        </is>
      </c>
      <c r="BX77" s="49" t="inlineStr">
        <is>
          <t xml:space="preserve">No Aplica                     </t>
        </is>
      </c>
    </row>
    <row r="78" ht="15" customHeight="1">
      <c r="A78" s="49" t="n">
        <v>1102366106</v>
      </c>
      <c r="B78" s="49" t="inlineStr">
        <is>
          <t>080</t>
        </is>
      </c>
      <c r="C78" s="49" t="n">
        <v>1102366106</v>
      </c>
      <c r="D78" s="49" t="inlineStr">
        <is>
          <t>CC</t>
        </is>
      </c>
      <c r="E78" s="49" t="inlineStr">
        <is>
          <t>GUERRERO CASTELLANOS OSCAR MAURICIO</t>
        </is>
      </c>
      <c r="F78" s="49" t="inlineStr">
        <is>
          <t>M</t>
        </is>
      </c>
      <c r="G78" s="49" t="inlineStr">
        <is>
          <t xml:space="preserve">A  </t>
        </is>
      </c>
      <c r="H78" s="49" t="inlineStr">
        <is>
          <t>+</t>
        </is>
      </c>
      <c r="I78" s="49" t="inlineStr">
        <is>
          <t>UNION LIBRE</t>
        </is>
      </c>
      <c r="J78" s="49" t="inlineStr">
        <is>
          <t xml:space="preserve">BUCARAMANGA                   </t>
        </is>
      </c>
      <c r="K78" s="49" t="n">
        <v>0</v>
      </c>
      <c r="L78" s="49" t="inlineStr">
        <is>
          <t>06/04/1991</t>
        </is>
      </c>
      <c r="M78" s="49" t="inlineStr">
        <is>
          <t xml:space="preserve">SUPIA                         </t>
        </is>
      </c>
      <c r="N78" s="49" t="inlineStr">
        <is>
          <t xml:space="preserve">0                   </t>
        </is>
      </c>
      <c r="O78" s="49" t="inlineStr">
        <is>
          <t>3138055093</t>
        </is>
      </c>
      <c r="P78" s="49" t="inlineStr">
        <is>
          <t>Sabaneta Antioquia</t>
        </is>
      </c>
      <c r="Q78" s="49" t="inlineStr">
        <is>
          <t>oscar.guerrero2012@hotmail.com</t>
        </is>
      </c>
      <c r="R78" s="49" t="inlineStr">
        <is>
          <t>PROFESIONAL DE  TIERRAS</t>
        </is>
      </c>
      <c r="S78" s="108" t="n">
        <v>91.66666600000001</v>
      </c>
      <c r="T78" s="108" t="n">
        <v>0</v>
      </c>
      <c r="U78" s="108" t="n">
        <v>220</v>
      </c>
      <c r="V78" s="49" t="inlineStr">
        <is>
          <t>CONSIG. CTA AHORROS</t>
        </is>
      </c>
      <c r="W78" s="49" t="inlineStr">
        <is>
          <t xml:space="preserve">BANCOLOMBIA S.A.              </t>
        </is>
      </c>
      <c r="X78" s="49" t="inlineStr">
        <is>
          <t xml:space="preserve">91278884479              </t>
        </is>
      </c>
      <c r="Y78" s="49" t="inlineStr">
        <is>
          <t xml:space="preserve">NO APLICA                     </t>
        </is>
      </c>
      <c r="Z78" s="49" t="inlineStr">
        <is>
          <t>CM0603-LEG</t>
        </is>
      </c>
      <c r="AA78" s="49" t="inlineStr">
        <is>
          <t>CM0603-LEG</t>
        </is>
      </c>
      <c r="AB78" s="49" t="inlineStr">
        <is>
          <t xml:space="preserve">01 </t>
        </is>
      </c>
      <c r="AC78" s="49" t="inlineStr">
        <is>
          <t xml:space="preserve">                </t>
        </is>
      </c>
      <c r="AD78" s="49" t="inlineStr">
        <is>
          <t>LEY 50</t>
        </is>
      </c>
      <c r="AE78" s="49" t="inlineStr">
        <is>
          <t>No</t>
        </is>
      </c>
      <c r="AF78" s="49" t="inlineStr">
        <is>
          <t>Normal</t>
        </is>
      </c>
      <c r="AG78" s="49" t="n"/>
      <c r="AH78" s="49" t="inlineStr">
        <is>
          <t>Si</t>
        </is>
      </c>
      <c r="AI78" s="49" t="inlineStr">
        <is>
          <t xml:space="preserve">Normal              </t>
        </is>
      </c>
      <c r="AJ78" s="49" t="inlineStr">
        <is>
          <t xml:space="preserve">Quincenal                     </t>
        </is>
      </c>
      <c r="AK78" s="49" t="inlineStr">
        <is>
          <t>NO</t>
        </is>
      </c>
      <c r="AL78" s="49" t="inlineStr">
        <is>
          <t>NO</t>
        </is>
      </c>
      <c r="AM78" s="49" t="inlineStr">
        <is>
          <t>04/06/2024</t>
        </is>
      </c>
      <c r="AN78" s="49" t="n"/>
      <c r="AO78" s="49" t="n"/>
      <c r="AP78" s="49" t="inlineStr">
        <is>
          <t xml:space="preserve">NO APLICA                </t>
        </is>
      </c>
      <c r="AQ78" s="49" t="n">
        <v>138</v>
      </c>
      <c r="AR78" s="49" t="inlineStr">
        <is>
          <t>01</t>
        </is>
      </c>
      <c r="AS78" s="49" t="n">
        <v>1</v>
      </c>
      <c r="AT78" s="49" t="inlineStr">
        <is>
          <t>No</t>
        </is>
      </c>
      <c r="AU78" s="49" t="n">
        <v>0</v>
      </c>
      <c r="AV78" s="108" t="n">
        <v>0</v>
      </c>
      <c r="AW78" s="108" t="n">
        <v>0</v>
      </c>
      <c r="AX78" s="108" t="n">
        <v>0</v>
      </c>
      <c r="AY78" s="49" t="inlineStr">
        <is>
          <t>No</t>
        </is>
      </c>
      <c r="AZ78" s="49" t="n">
        <v>169482</v>
      </c>
      <c r="BA78" s="49" t="inlineStr">
        <is>
          <t>SANITAS E.P.S</t>
        </is>
      </c>
      <c r="BB78" s="49" t="inlineStr">
        <is>
          <t>COLPENSIONES - I.S.S. PENSION</t>
        </is>
      </c>
      <c r="BC78" s="49" t="inlineStr">
        <is>
          <t>CCF COMFENALCO ANTIOQUIA</t>
        </is>
      </c>
      <c r="BD78" s="49" t="inlineStr">
        <is>
          <t>RIESGOS PROFESIONALES COLMENA S.A.</t>
        </is>
      </c>
      <c r="BE78" s="49" t="inlineStr">
        <is>
          <t>FONDO NACIONAL DEL AHORRO</t>
        </is>
      </c>
      <c r="BF78" s="49" t="n">
        <v>6.96</v>
      </c>
      <c r="BG78" s="49" t="n">
        <v>220</v>
      </c>
      <c r="BH78" s="49" t="n">
        <v>15</v>
      </c>
      <c r="BI78" s="49" t="inlineStr">
        <is>
          <t xml:space="preserve">0           </t>
        </is>
      </c>
      <c r="BJ78" s="49" t="inlineStr">
        <is>
          <t xml:space="preserve">NO APLICA                               </t>
        </is>
      </c>
      <c r="BK78" s="49" t="inlineStr">
        <is>
          <t>02</t>
        </is>
      </c>
      <c r="BL78" s="49" t="inlineStr">
        <is>
          <t xml:space="preserve">Caldas                                  </t>
        </is>
      </c>
      <c r="BM78" s="49" t="inlineStr">
        <is>
          <t>02</t>
        </is>
      </c>
      <c r="BN78" s="49" t="inlineStr">
        <is>
          <t xml:space="preserve">Supia                                   </t>
        </is>
      </c>
      <c r="BO78" s="49" t="inlineStr">
        <is>
          <t>0</t>
        </is>
      </c>
      <c r="BP78" s="49" t="inlineStr">
        <is>
          <t>NO APLICA</t>
        </is>
      </c>
      <c r="BQ78" s="49" t="inlineStr">
        <is>
          <t>0</t>
        </is>
      </c>
      <c r="BR78" s="49" t="inlineStr">
        <is>
          <t>NO APLICA</t>
        </is>
      </c>
      <c r="BS78" s="49" t="inlineStr">
        <is>
          <t>0</t>
        </is>
      </c>
      <c r="BT78" s="49" t="inlineStr">
        <is>
          <t>NO APLICA</t>
        </is>
      </c>
      <c r="BU78" s="49" t="inlineStr">
        <is>
          <t>0</t>
        </is>
      </c>
      <c r="BV78" s="49" t="inlineStr">
        <is>
          <t>NO APLICA</t>
        </is>
      </c>
      <c r="BW78" s="49" t="inlineStr">
        <is>
          <t>No</t>
        </is>
      </c>
      <c r="BX78" s="49" t="inlineStr">
        <is>
          <t xml:space="preserve">No Aplica                     </t>
        </is>
      </c>
    </row>
    <row r="79" ht="22.5" customHeight="1">
      <c r="A79" s="49" t="n">
        <v>1128391597</v>
      </c>
      <c r="B79" s="49" t="inlineStr">
        <is>
          <t xml:space="preserve"> 131</t>
        </is>
      </c>
      <c r="C79" s="49" t="n">
        <v>1128391597</v>
      </c>
      <c r="D79" s="49" t="inlineStr">
        <is>
          <t>CC</t>
        </is>
      </c>
      <c r="E79" s="49" t="inlineStr">
        <is>
          <t>ALVAREZ GALEANO JUAN DAVID</t>
        </is>
      </c>
      <c r="F79" s="49" t="inlineStr">
        <is>
          <t>M</t>
        </is>
      </c>
      <c r="G79" s="49" t="inlineStr">
        <is>
          <t xml:space="preserve">A  </t>
        </is>
      </c>
      <c r="H79" s="49" t="inlineStr">
        <is>
          <t>+</t>
        </is>
      </c>
      <c r="I79" s="49" t="inlineStr">
        <is>
          <t>CASADO</t>
        </is>
      </c>
      <c r="J79" s="49" t="inlineStr">
        <is>
          <t xml:space="preserve">MEDELLÍN                      </t>
        </is>
      </c>
      <c r="K79" s="49" t="n">
        <v>0</v>
      </c>
      <c r="L79" s="49" t="inlineStr">
        <is>
          <t>05/08/1988</t>
        </is>
      </c>
      <c r="M79" s="49" t="inlineStr">
        <is>
          <t xml:space="preserve">SUPIA                         </t>
        </is>
      </c>
      <c r="N79" s="49" t="inlineStr">
        <is>
          <t xml:space="preserve">0000                </t>
        </is>
      </c>
      <c r="O79" s="49" t="inlineStr">
        <is>
          <t>3218647287</t>
        </is>
      </c>
      <c r="P79" s="49" t="inlineStr">
        <is>
          <t xml:space="preserve">CL 61 B s 40-20 AP 808 </t>
        </is>
      </c>
      <c r="Q79" s="49" t="inlineStr">
        <is>
          <t>Juan.alvarez1597@unaula.edu.co</t>
        </is>
      </c>
      <c r="R79" s="49" t="inlineStr">
        <is>
          <t>COORDINADOR CONTABLE Y DE IMPUESTOS</t>
        </is>
      </c>
      <c r="S79" s="108" t="n">
        <v>91.66666600000001</v>
      </c>
      <c r="T79" s="108" t="n">
        <v>0</v>
      </c>
      <c r="U79" s="108" t="n">
        <v>220</v>
      </c>
      <c r="V79" s="49" t="inlineStr">
        <is>
          <t>CONSIG. CTA AHORROS</t>
        </is>
      </c>
      <c r="W79" s="49" t="inlineStr">
        <is>
          <t xml:space="preserve">BANCOLOMBIA S.A.              </t>
        </is>
      </c>
      <c r="X79" s="49" t="inlineStr">
        <is>
          <t xml:space="preserve">46211929669              </t>
        </is>
      </c>
      <c r="Y79" s="49" t="inlineStr">
        <is>
          <t xml:space="preserve">NO APLICA                     </t>
        </is>
      </c>
      <c r="Z79" s="49" t="inlineStr">
        <is>
          <t>CM0604-FIN</t>
        </is>
      </c>
      <c r="AA79" s="49" t="inlineStr">
        <is>
          <t>CM0604-FIN</t>
        </is>
      </c>
      <c r="AB79" s="49" t="inlineStr">
        <is>
          <t xml:space="preserve">01 </t>
        </is>
      </c>
      <c r="AC79" s="49" t="inlineStr">
        <is>
          <t xml:space="preserve">                </t>
        </is>
      </c>
      <c r="AD79" s="49" t="inlineStr">
        <is>
          <t>LEY 50</t>
        </is>
      </c>
      <c r="AE79" s="49" t="inlineStr">
        <is>
          <t>No</t>
        </is>
      </c>
      <c r="AF79" s="49" t="inlineStr">
        <is>
          <t>Normal</t>
        </is>
      </c>
      <c r="AG79" s="49" t="n"/>
      <c r="AH79" s="49" t="inlineStr">
        <is>
          <t>Si</t>
        </is>
      </c>
      <c r="AI79" s="49" t="inlineStr">
        <is>
          <t xml:space="preserve">Normal              </t>
        </is>
      </c>
      <c r="AJ79" s="49" t="inlineStr">
        <is>
          <t xml:space="preserve">Quincenal                     </t>
        </is>
      </c>
      <c r="AK79" s="49" t="inlineStr">
        <is>
          <t>NO</t>
        </is>
      </c>
      <c r="AL79" s="49" t="inlineStr">
        <is>
          <t>NO</t>
        </is>
      </c>
      <c r="AM79" s="49" t="inlineStr">
        <is>
          <t>21/07/2025</t>
        </is>
      </c>
      <c r="AN79" s="49" t="n"/>
      <c r="AO79" s="49" t="n"/>
      <c r="AP79" s="49" t="inlineStr">
        <is>
          <t xml:space="preserve">NO APLICA                </t>
        </is>
      </c>
      <c r="AQ79" s="49" t="n">
        <v>191</v>
      </c>
      <c r="AR79" s="49" t="inlineStr">
        <is>
          <t>01</t>
        </is>
      </c>
      <c r="AS79" s="49" t="n">
        <v>1</v>
      </c>
      <c r="AT79" s="49" t="inlineStr">
        <is>
          <t>No</t>
        </is>
      </c>
      <c r="AU79" s="49" t="n">
        <v>0</v>
      </c>
      <c r="AV79" s="108" t="n">
        <v>0</v>
      </c>
      <c r="AW79" s="108" t="n">
        <v>0</v>
      </c>
      <c r="AX79" s="108" t="n">
        <v>0</v>
      </c>
      <c r="AY79" s="49" t="inlineStr">
        <is>
          <t>No</t>
        </is>
      </c>
      <c r="AZ79" s="49" t="n">
        <v>0</v>
      </c>
      <c r="BA79" s="49" t="inlineStr">
        <is>
          <t>SURA E.P.S.</t>
        </is>
      </c>
      <c r="BB79" s="49" t="inlineStr">
        <is>
          <t>PORVENIR A.F.P.</t>
        </is>
      </c>
      <c r="BC79" s="49" t="inlineStr">
        <is>
          <t>CCF COMFENALCO ANTIOQUIA</t>
        </is>
      </c>
      <c r="BD79" s="49" t="inlineStr">
        <is>
          <t>RIESGOS PROFESIONALES COLMENA S.A.</t>
        </is>
      </c>
      <c r="BE79" s="49" t="inlineStr">
        <is>
          <t>PORVENIR CESANTIAS</t>
        </is>
      </c>
      <c r="BF79" s="49" t="n">
        <v>0.522</v>
      </c>
      <c r="BG79" s="49" t="n">
        <v>220</v>
      </c>
      <c r="BH79" s="49" t="n">
        <v>15</v>
      </c>
      <c r="BI79" s="49" t="inlineStr">
        <is>
          <t xml:space="preserve">0           </t>
        </is>
      </c>
      <c r="BJ79" s="49" t="inlineStr">
        <is>
          <t xml:space="preserve">NO APLICA                               </t>
        </is>
      </c>
      <c r="BK79" s="49" t="inlineStr">
        <is>
          <t>02</t>
        </is>
      </c>
      <c r="BL79" s="49" t="inlineStr">
        <is>
          <t xml:space="preserve">Caldas                                  </t>
        </is>
      </c>
      <c r="BM79" s="49" t="inlineStr">
        <is>
          <t>02</t>
        </is>
      </c>
      <c r="BN79" s="49" t="inlineStr">
        <is>
          <t xml:space="preserve">Supia                                   </t>
        </is>
      </c>
      <c r="BO79" s="49" t="inlineStr">
        <is>
          <t>0</t>
        </is>
      </c>
      <c r="BP79" s="49" t="inlineStr">
        <is>
          <t>NO APLICA</t>
        </is>
      </c>
      <c r="BQ79" s="49" t="inlineStr">
        <is>
          <t>0</t>
        </is>
      </c>
      <c r="BR79" s="49" t="inlineStr">
        <is>
          <t>NO APLICA</t>
        </is>
      </c>
      <c r="BS79" s="49" t="inlineStr">
        <is>
          <t>0</t>
        </is>
      </c>
      <c r="BT79" s="49" t="inlineStr">
        <is>
          <t>NO APLICA</t>
        </is>
      </c>
      <c r="BU79" s="49" t="inlineStr">
        <is>
          <t>0</t>
        </is>
      </c>
      <c r="BV79" s="49" t="inlineStr">
        <is>
          <t>NO APLICA</t>
        </is>
      </c>
      <c r="BW79" s="49" t="inlineStr">
        <is>
          <t>No</t>
        </is>
      </c>
      <c r="BX79" s="49" t="inlineStr">
        <is>
          <t xml:space="preserve">No Aplica                     </t>
        </is>
      </c>
    </row>
    <row r="80" ht="15" customHeight="1">
      <c r="A80" s="49" t="n">
        <v>1128415118</v>
      </c>
      <c r="B80" s="49" t="inlineStr">
        <is>
          <t>023</t>
        </is>
      </c>
      <c r="C80" s="49" t="n">
        <v>1128415118</v>
      </c>
      <c r="D80" s="49" t="inlineStr">
        <is>
          <t>CC</t>
        </is>
      </c>
      <c r="E80" s="49" t="inlineStr">
        <is>
          <t>MONTOYA MONTOYA PABLO ESTEBAN</t>
        </is>
      </c>
      <c r="F80" s="49" t="inlineStr">
        <is>
          <t>M</t>
        </is>
      </c>
      <c r="G80" s="49" t="inlineStr">
        <is>
          <t xml:space="preserve">O  </t>
        </is>
      </c>
      <c r="H80" s="49" t="inlineStr">
        <is>
          <t>+</t>
        </is>
      </c>
      <c r="I80" s="49" t="inlineStr">
        <is>
          <t>CASADO</t>
        </is>
      </c>
      <c r="J80" s="49" t="inlineStr">
        <is>
          <t xml:space="preserve">MEDELLÍN                      </t>
        </is>
      </c>
      <c r="K80" s="49" t="n">
        <v>0</v>
      </c>
      <c r="L80" s="49" t="inlineStr">
        <is>
          <t>28/04/1988</t>
        </is>
      </c>
      <c r="M80" s="49" t="inlineStr">
        <is>
          <t xml:space="preserve">MEDELLÍN                      </t>
        </is>
      </c>
      <c r="N80" s="49" t="inlineStr">
        <is>
          <t xml:space="preserve">3016941480          </t>
        </is>
      </c>
      <c r="O80" s="49" t="inlineStr">
        <is>
          <t>3016941480</t>
        </is>
      </c>
      <c r="P80" s="49" t="inlineStr">
        <is>
          <t xml:space="preserve">CALLE 71 # 58 - 102                     </t>
        </is>
      </c>
      <c r="Q80" s="49" t="inlineStr">
        <is>
          <t>esteban1montoya@gmail.com</t>
        </is>
      </c>
      <c r="R80" s="49" t="inlineStr">
        <is>
          <t>Finance Manager</t>
        </is>
      </c>
      <c r="S80" s="108" t="n">
        <v>91.66666600000001</v>
      </c>
      <c r="T80" s="108" t="n">
        <v>0</v>
      </c>
      <c r="U80" s="108" t="n">
        <v>220</v>
      </c>
      <c r="V80" s="49" t="inlineStr">
        <is>
          <t>CONSIG. CTA AHORROS</t>
        </is>
      </c>
      <c r="W80" s="49" t="inlineStr">
        <is>
          <t xml:space="preserve">SCOTIABANK COLPATRIA          </t>
        </is>
      </c>
      <c r="X80" s="49" t="inlineStr">
        <is>
          <t xml:space="preserve">1542015338               </t>
        </is>
      </c>
      <c r="Y80" s="49" t="inlineStr">
        <is>
          <t xml:space="preserve">NO APLICA                     </t>
        </is>
      </c>
      <c r="Z80" s="49" t="inlineStr">
        <is>
          <t>CM0604-FIN</t>
        </is>
      </c>
      <c r="AA80" s="49" t="inlineStr">
        <is>
          <t>CM0604-FIN</t>
        </is>
      </c>
      <c r="AB80" s="49" t="inlineStr">
        <is>
          <t xml:space="preserve">01 </t>
        </is>
      </c>
      <c r="AC80" s="49" t="inlineStr">
        <is>
          <t xml:space="preserve">0               </t>
        </is>
      </c>
      <c r="AD80" s="49" t="inlineStr">
        <is>
          <t>LEY 50</t>
        </is>
      </c>
      <c r="AE80" s="49" t="inlineStr">
        <is>
          <t>No</t>
        </is>
      </c>
      <c r="AF80" s="49" t="inlineStr">
        <is>
          <t>Integral</t>
        </is>
      </c>
      <c r="AG80" s="49" t="n"/>
      <c r="AH80" s="49" t="inlineStr">
        <is>
          <t>Si</t>
        </is>
      </c>
      <c r="AI80" s="49" t="inlineStr">
        <is>
          <t xml:space="preserve">Normal              </t>
        </is>
      </c>
      <c r="AJ80" s="49" t="inlineStr">
        <is>
          <t xml:space="preserve">Quincenal                     </t>
        </is>
      </c>
      <c r="AK80" s="49" t="inlineStr">
        <is>
          <t>NO</t>
        </is>
      </c>
      <c r="AL80" s="49" t="inlineStr">
        <is>
          <t>NO</t>
        </is>
      </c>
      <c r="AM80" s="49" t="inlineStr">
        <is>
          <t>11/01/2022</t>
        </is>
      </c>
      <c r="AN80" s="49" t="n"/>
      <c r="AO80" s="49" t="n"/>
      <c r="AP80" s="49" t="inlineStr">
        <is>
          <t xml:space="preserve">NO APLICA                </t>
        </is>
      </c>
      <c r="AQ80" s="49" t="n">
        <v>31</v>
      </c>
      <c r="AR80" s="49" t="inlineStr">
        <is>
          <t>01</t>
        </is>
      </c>
      <c r="AS80" s="49" t="n">
        <v>1</v>
      </c>
      <c r="AT80" s="49" t="inlineStr">
        <is>
          <t>No</t>
        </is>
      </c>
      <c r="AU80" s="49" t="n">
        <v>0</v>
      </c>
      <c r="AV80" s="108" t="n">
        <v>0</v>
      </c>
      <c r="AW80" s="108" t="n">
        <v>0</v>
      </c>
      <c r="AX80" s="108" t="n">
        <v>0</v>
      </c>
      <c r="AY80" s="49" t="inlineStr">
        <is>
          <t>No</t>
        </is>
      </c>
      <c r="AZ80" s="49" t="n">
        <v>402574</v>
      </c>
      <c r="BA80" s="49" t="inlineStr">
        <is>
          <t>SURA E.P.S.</t>
        </is>
      </c>
      <c r="BB80" s="49" t="inlineStr">
        <is>
          <t>PROTECCION A.F.P</t>
        </is>
      </c>
      <c r="BC80" s="49" t="inlineStr">
        <is>
          <t>CCF COMFENALCO ANTIOQUIA</t>
        </is>
      </c>
      <c r="BD80" s="49" t="inlineStr">
        <is>
          <t>RIESGOS PROFESIONALES COLMENA S.A.</t>
        </is>
      </c>
      <c r="BE80" s="49" t="inlineStr">
        <is>
          <t>PROTECCION CESANTIAS</t>
        </is>
      </c>
      <c r="BF80" s="49" t="n">
        <v>0.522</v>
      </c>
      <c r="BG80" s="49" t="n">
        <v>220</v>
      </c>
      <c r="BH80" s="49" t="n">
        <v>15</v>
      </c>
      <c r="BI80" s="49" t="inlineStr">
        <is>
          <t xml:space="preserve">0           </t>
        </is>
      </c>
      <c r="BJ80" s="49" t="inlineStr">
        <is>
          <t xml:space="preserve">NO APLICA                               </t>
        </is>
      </c>
      <c r="BK80" s="49" t="inlineStr">
        <is>
          <t>01</t>
        </is>
      </c>
      <c r="BL80" s="49" t="inlineStr">
        <is>
          <t xml:space="preserve">Antioquia                               </t>
        </is>
      </c>
      <c r="BM80" s="49" t="inlineStr">
        <is>
          <t>04</t>
        </is>
      </c>
      <c r="BN80" s="49" t="inlineStr">
        <is>
          <t xml:space="preserve">Otros Lugares                           </t>
        </is>
      </c>
      <c r="BO80" s="49" t="inlineStr">
        <is>
          <t>0</t>
        </is>
      </c>
      <c r="BP80" s="49" t="inlineStr">
        <is>
          <t>NO APLICA</t>
        </is>
      </c>
      <c r="BQ80" s="49" t="inlineStr">
        <is>
          <t>0</t>
        </is>
      </c>
      <c r="BR80" s="49" t="inlineStr">
        <is>
          <t>NO APLICA</t>
        </is>
      </c>
      <c r="BS80" s="49" t="inlineStr">
        <is>
          <t>0</t>
        </is>
      </c>
      <c r="BT80" s="49" t="inlineStr">
        <is>
          <t>NO APLICA</t>
        </is>
      </c>
      <c r="BU80" s="49" t="inlineStr">
        <is>
          <t>0</t>
        </is>
      </c>
      <c r="BV80" s="49" t="inlineStr">
        <is>
          <t>NO APLICA</t>
        </is>
      </c>
      <c r="BW80" s="49" t="inlineStr">
        <is>
          <t>No</t>
        </is>
      </c>
      <c r="BX80" s="49" t="inlineStr">
        <is>
          <t xml:space="preserve">No Aplica                     </t>
        </is>
      </c>
    </row>
    <row r="81" ht="22.5" customHeight="1">
      <c r="A81" s="49" t="n">
        <v>1128422824</v>
      </c>
      <c r="B81" s="49" t="inlineStr">
        <is>
          <t>004</t>
        </is>
      </c>
      <c r="C81" s="49" t="n">
        <v>1128422824</v>
      </c>
      <c r="D81" s="49" t="inlineStr">
        <is>
          <t>CC</t>
        </is>
      </c>
      <c r="E81" s="49" t="inlineStr">
        <is>
          <t>MARIN ESTRADA YURANY</t>
        </is>
      </c>
      <c r="F81" s="49" t="inlineStr">
        <is>
          <t>F</t>
        </is>
      </c>
      <c r="G81" s="49" t="inlineStr">
        <is>
          <t xml:space="preserve">O  </t>
        </is>
      </c>
      <c r="H81" s="49" t="inlineStr">
        <is>
          <t>+</t>
        </is>
      </c>
      <c r="I81" s="49" t="inlineStr">
        <is>
          <t>SOLTERO</t>
        </is>
      </c>
      <c r="J81" s="49" t="inlineStr">
        <is>
          <t xml:space="preserve">MARMATO                       </t>
        </is>
      </c>
      <c r="K81" s="49" t="n">
        <v>0</v>
      </c>
      <c r="L81" s="49" t="inlineStr">
        <is>
          <t>06/09/1989</t>
        </is>
      </c>
      <c r="M81" s="49" t="inlineStr">
        <is>
          <t xml:space="preserve">SUPIA                         </t>
        </is>
      </c>
      <c r="N81" s="49" t="inlineStr">
        <is>
          <t xml:space="preserve">3127225184          </t>
        </is>
      </c>
      <c r="O81" s="49" t="inlineStr">
        <is>
          <t>3127225184</t>
        </is>
      </c>
      <c r="P81" s="49" t="inlineStr">
        <is>
          <t>CRA 7 24 27</t>
        </is>
      </c>
      <c r="Q81" s="49" t="inlineStr">
        <is>
          <t>estrayura@gmail.com</t>
        </is>
      </c>
      <c r="R81" s="49" t="inlineStr">
        <is>
          <t>JEFE DE GESTIÓN SOCIAL</t>
        </is>
      </c>
      <c r="S81" s="108" t="n">
        <v>91.66666600000001</v>
      </c>
      <c r="T81" s="108" t="n">
        <v>0</v>
      </c>
      <c r="U81" s="108" t="n">
        <v>220</v>
      </c>
      <c r="V81" s="49" t="inlineStr">
        <is>
          <t>CONSIG. CTA AHORROS</t>
        </is>
      </c>
      <c r="W81" s="49" t="inlineStr">
        <is>
          <t xml:space="preserve">BANCOLOMBIA S.A.              </t>
        </is>
      </c>
      <c r="X81" s="49" t="inlineStr">
        <is>
          <t xml:space="preserve">34459401930              </t>
        </is>
      </c>
      <c r="Y81" s="49" t="inlineStr">
        <is>
          <t xml:space="preserve">NO APLICA                     </t>
        </is>
      </c>
      <c r="Z81" s="49" t="inlineStr">
        <is>
          <t>CM0201-ESG</t>
        </is>
      </c>
      <c r="AA81" s="49" t="inlineStr">
        <is>
          <t>CM0201-ESGSOC</t>
        </is>
      </c>
      <c r="AB81" s="49" t="inlineStr">
        <is>
          <t xml:space="preserve">01 </t>
        </is>
      </c>
      <c r="AC81" s="49" t="inlineStr">
        <is>
          <t xml:space="preserve">0               </t>
        </is>
      </c>
      <c r="AD81" s="49" t="inlineStr">
        <is>
          <t>LEY 50</t>
        </is>
      </c>
      <c r="AE81" s="49" t="inlineStr">
        <is>
          <t>No</t>
        </is>
      </c>
      <c r="AF81" s="49" t="inlineStr">
        <is>
          <t>Normal</t>
        </is>
      </c>
      <c r="AG81" s="49" t="n"/>
      <c r="AH81" s="49" t="inlineStr">
        <is>
          <t>Si</t>
        </is>
      </c>
      <c r="AI81" s="49" t="inlineStr">
        <is>
          <t xml:space="preserve">Normal              </t>
        </is>
      </c>
      <c r="AJ81" s="49" t="inlineStr">
        <is>
          <t xml:space="preserve">Quincenal                     </t>
        </is>
      </c>
      <c r="AK81" s="49" t="inlineStr">
        <is>
          <t>NO</t>
        </is>
      </c>
      <c r="AL81" s="49" t="inlineStr">
        <is>
          <t>NO</t>
        </is>
      </c>
      <c r="AM81" s="49" t="inlineStr">
        <is>
          <t>24/08/2020</t>
        </is>
      </c>
      <c r="AN81" s="49" t="n"/>
      <c r="AO81" s="49" t="n"/>
      <c r="AP81" s="49" t="inlineStr">
        <is>
          <t xml:space="preserve">NO APLICA                </t>
        </is>
      </c>
      <c r="AQ81" s="49" t="n">
        <v>58</v>
      </c>
      <c r="AR81" s="49" t="inlineStr">
        <is>
          <t>01</t>
        </is>
      </c>
      <c r="AS81" s="49" t="n">
        <v>1</v>
      </c>
      <c r="AT81" s="49" t="inlineStr">
        <is>
          <t>No</t>
        </is>
      </c>
      <c r="AU81" s="49" t="n">
        <v>0</v>
      </c>
      <c r="AV81" s="108" t="n">
        <v>0</v>
      </c>
      <c r="AW81" s="108" t="n">
        <v>872451</v>
      </c>
      <c r="AX81" s="108" t="n">
        <v>0</v>
      </c>
      <c r="AY81" s="49" t="inlineStr">
        <is>
          <t>No</t>
        </is>
      </c>
      <c r="AZ81" s="49" t="n">
        <v>385215</v>
      </c>
      <c r="BA81" s="49" t="inlineStr">
        <is>
          <t>SURA E.P.S.</t>
        </is>
      </c>
      <c r="BB81" s="49" t="inlineStr">
        <is>
          <t>PROTECCION A.F.P</t>
        </is>
      </c>
      <c r="BC81" s="49" t="inlineStr">
        <is>
          <t>CCF DE CALDAS</t>
        </is>
      </c>
      <c r="BD81" s="49" t="inlineStr">
        <is>
          <t>RIESGOS PROFESIONALES COLMENA S.A.</t>
        </is>
      </c>
      <c r="BE81" s="49" t="inlineStr">
        <is>
          <t>PORVENIR CESANTIAS</t>
        </is>
      </c>
      <c r="BF81" s="49" t="n">
        <v>6.96</v>
      </c>
      <c r="BG81" s="49" t="n">
        <v>220</v>
      </c>
      <c r="BH81" s="49" t="n">
        <v>15</v>
      </c>
      <c r="BI81" s="49" t="inlineStr">
        <is>
          <t xml:space="preserve">0           </t>
        </is>
      </c>
      <c r="BJ81" s="49" t="inlineStr">
        <is>
          <t xml:space="preserve">NO APLICA                               </t>
        </is>
      </c>
      <c r="BK81" s="49" t="inlineStr">
        <is>
          <t>02</t>
        </is>
      </c>
      <c r="BL81" s="49" t="inlineStr">
        <is>
          <t xml:space="preserve">Caldas                                  </t>
        </is>
      </c>
      <c r="BM81" s="49" t="inlineStr">
        <is>
          <t>03</t>
        </is>
      </c>
      <c r="BN81" s="49" t="inlineStr">
        <is>
          <t xml:space="preserve">Marmato                                 </t>
        </is>
      </c>
      <c r="BO81" s="49" t="inlineStr">
        <is>
          <t>0</t>
        </is>
      </c>
      <c r="BP81" s="49" t="inlineStr">
        <is>
          <t>NO APLICA</t>
        </is>
      </c>
      <c r="BQ81" s="49" t="inlineStr">
        <is>
          <t>0</t>
        </is>
      </c>
      <c r="BR81" s="49" t="inlineStr">
        <is>
          <t>NO APLICA</t>
        </is>
      </c>
      <c r="BS81" s="49" t="inlineStr">
        <is>
          <t>0</t>
        </is>
      </c>
      <c r="BT81" s="49" t="inlineStr">
        <is>
          <t>NO APLICA</t>
        </is>
      </c>
      <c r="BU81" s="49" t="inlineStr">
        <is>
          <t>0</t>
        </is>
      </c>
      <c r="BV81" s="49" t="inlineStr">
        <is>
          <t>NO APLICA</t>
        </is>
      </c>
      <c r="BW81" s="49" t="inlineStr">
        <is>
          <t>No</t>
        </is>
      </c>
      <c r="BX81" s="49" t="inlineStr">
        <is>
          <t xml:space="preserve">No Aplica                     </t>
        </is>
      </c>
    </row>
    <row r="82" ht="22.5" customHeight="1">
      <c r="A82" s="49" t="n">
        <v>1129508933</v>
      </c>
      <c r="B82" s="49" t="inlineStr">
        <is>
          <t xml:space="preserve"> 170</t>
        </is>
      </c>
      <c r="C82" s="49" t="n">
        <v>1129508933</v>
      </c>
      <c r="D82" s="49" t="inlineStr">
        <is>
          <t>CC</t>
        </is>
      </c>
      <c r="E82" s="49" t="inlineStr">
        <is>
          <t>RODRIGUEZ CASTAÑEDA KARIDIS PAOLA</t>
        </is>
      </c>
      <c r="F82" s="49" t="inlineStr">
        <is>
          <t>F</t>
        </is>
      </c>
      <c r="G82" s="49" t="inlineStr">
        <is>
          <t xml:space="preserve">A  </t>
        </is>
      </c>
      <c r="H82" s="49" t="inlineStr">
        <is>
          <t>+</t>
        </is>
      </c>
      <c r="I82" s="49" t="inlineStr">
        <is>
          <t>UNION LIBRE</t>
        </is>
      </c>
      <c r="J82" s="49" t="inlineStr">
        <is>
          <t xml:space="preserve">BARRANQUILLA                  </t>
        </is>
      </c>
      <c r="K82" s="49" t="n">
        <v>0</v>
      </c>
      <c r="L82" s="49" t="inlineStr">
        <is>
          <t>30/01/1987</t>
        </is>
      </c>
      <c r="M82" s="49" t="inlineStr">
        <is>
          <t xml:space="preserve">SUPIA                         </t>
        </is>
      </c>
      <c r="N82" s="49" t="inlineStr">
        <is>
          <t xml:space="preserve">0000                </t>
        </is>
      </c>
      <c r="O82" s="49" t="inlineStr">
        <is>
          <t>3014106105</t>
        </is>
      </c>
      <c r="P82" s="49" t="inlineStr">
        <is>
          <t>CL 14  4 -28</t>
        </is>
      </c>
      <c r="Q82" s="49" t="inlineStr">
        <is>
          <t>angelical_kary@hotmail.com</t>
        </is>
      </c>
      <c r="R82" s="49" t="inlineStr">
        <is>
          <t>AUXILIAR DE EXPLORACIÓN</t>
        </is>
      </c>
      <c r="S82" s="108" t="n">
        <v>91.66666600000001</v>
      </c>
      <c r="T82" s="108" t="n">
        <v>0</v>
      </c>
      <c r="U82" s="108" t="n">
        <v>220</v>
      </c>
      <c r="V82" s="49" t="inlineStr">
        <is>
          <t>CONSIG. CTA AHORROS</t>
        </is>
      </c>
      <c r="W82" s="49" t="inlineStr">
        <is>
          <t xml:space="preserve">BANCO DAVIVIENDA S.A.         </t>
        </is>
      </c>
      <c r="X82" s="49" t="inlineStr">
        <is>
          <t xml:space="preserve">0550488436630443         </t>
        </is>
      </c>
      <c r="Y82" s="49" t="inlineStr">
        <is>
          <t xml:space="preserve">NO APLICA                     </t>
        </is>
      </c>
      <c r="Z82" s="49" t="inlineStr">
        <is>
          <t>CM0100-EXP</t>
        </is>
      </c>
      <c r="AA82" s="49" t="inlineStr">
        <is>
          <t>CM0100-EXP</t>
        </is>
      </c>
      <c r="AB82" s="49" t="inlineStr">
        <is>
          <t xml:space="preserve">01 </t>
        </is>
      </c>
      <c r="AC82" s="49" t="inlineStr">
        <is>
          <t xml:space="preserve">                </t>
        </is>
      </c>
      <c r="AD82" s="49" t="inlineStr">
        <is>
          <t>LEY 50</t>
        </is>
      </c>
      <c r="AE82" s="49" t="inlineStr">
        <is>
          <t>No</t>
        </is>
      </c>
      <c r="AF82" s="49" t="inlineStr">
        <is>
          <t>Normal</t>
        </is>
      </c>
      <c r="AG82" s="49" t="n"/>
      <c r="AH82" s="49" t="inlineStr">
        <is>
          <t>Si</t>
        </is>
      </c>
      <c r="AI82" s="49" t="inlineStr">
        <is>
          <t xml:space="preserve">Normal              </t>
        </is>
      </c>
      <c r="AJ82" s="49" t="inlineStr">
        <is>
          <t xml:space="preserve">Quincenal                     </t>
        </is>
      </c>
      <c r="AK82" s="49" t="inlineStr">
        <is>
          <t>NO</t>
        </is>
      </c>
      <c r="AL82" s="49" t="inlineStr">
        <is>
          <t>NO</t>
        </is>
      </c>
      <c r="AM82" s="49" t="inlineStr">
        <is>
          <t>10/03/2026</t>
        </is>
      </c>
      <c r="AN82" s="49" t="n"/>
      <c r="AO82" s="49" t="n"/>
      <c r="AP82" s="49" t="inlineStr">
        <is>
          <t xml:space="preserve">NO APLICA                </t>
        </is>
      </c>
      <c r="AQ82" s="49" t="n">
        <v>234</v>
      </c>
      <c r="AR82" s="49" t="inlineStr">
        <is>
          <t>01</t>
        </is>
      </c>
      <c r="AS82" s="49" t="n">
        <v>1</v>
      </c>
      <c r="AT82" s="49" t="inlineStr">
        <is>
          <t>No</t>
        </is>
      </c>
      <c r="AU82" s="49" t="n">
        <v>0</v>
      </c>
      <c r="AV82" s="108" t="n">
        <v>0</v>
      </c>
      <c r="AW82" s="108" t="n">
        <v>0</v>
      </c>
      <c r="AX82" s="108" t="n">
        <v>0</v>
      </c>
      <c r="AY82" s="49" t="inlineStr">
        <is>
          <t>No</t>
        </is>
      </c>
      <c r="AZ82" s="49" t="n">
        <v>0</v>
      </c>
      <c r="BA82" s="49" t="inlineStr">
        <is>
          <t>NUEVA E.P.S</t>
        </is>
      </c>
      <c r="BB82" s="49" t="inlineStr">
        <is>
          <t>PORVENIR A.F.P.</t>
        </is>
      </c>
      <c r="BC82" s="49" t="inlineStr">
        <is>
          <t>CCF DE CALDAS</t>
        </is>
      </c>
      <c r="BD82" s="49" t="inlineStr">
        <is>
          <t>RIESGOS PROFESIONALES COLMENA S.A.</t>
        </is>
      </c>
      <c r="BE82" s="49" t="inlineStr">
        <is>
          <t>FONDO NACIONAL DEL AHORRO</t>
        </is>
      </c>
      <c r="BF82" s="49" t="n">
        <v>6.96</v>
      </c>
      <c r="BG82" s="49" t="n">
        <v>220</v>
      </c>
      <c r="BH82" s="49" t="n">
        <v>15</v>
      </c>
      <c r="BI82" s="49" t="inlineStr">
        <is>
          <t xml:space="preserve">0           </t>
        </is>
      </c>
      <c r="BJ82" s="49" t="inlineStr">
        <is>
          <t xml:space="preserve">NO APLICA                               </t>
        </is>
      </c>
      <c r="BK82" s="49" t="inlineStr">
        <is>
          <t>02</t>
        </is>
      </c>
      <c r="BL82" s="49" t="inlineStr">
        <is>
          <t xml:space="preserve">Caldas                                  </t>
        </is>
      </c>
      <c r="BM82" s="49" t="inlineStr">
        <is>
          <t>02</t>
        </is>
      </c>
      <c r="BN82" s="49" t="inlineStr">
        <is>
          <t xml:space="preserve">Supia                                   </t>
        </is>
      </c>
      <c r="BO82" s="49" t="inlineStr">
        <is>
          <t>0</t>
        </is>
      </c>
      <c r="BP82" s="49" t="inlineStr">
        <is>
          <t>NO APLICA</t>
        </is>
      </c>
      <c r="BQ82" s="49" t="inlineStr">
        <is>
          <t>0</t>
        </is>
      </c>
      <c r="BR82" s="49" t="inlineStr">
        <is>
          <t>NO APLICA</t>
        </is>
      </c>
      <c r="BS82" s="49" t="inlineStr">
        <is>
          <t>0</t>
        </is>
      </c>
      <c r="BT82" s="49" t="inlineStr">
        <is>
          <t>NO APLICA</t>
        </is>
      </c>
      <c r="BU82" s="49" t="inlineStr">
        <is>
          <t>0</t>
        </is>
      </c>
      <c r="BV82" s="49" t="inlineStr">
        <is>
          <t>NO APLICA</t>
        </is>
      </c>
      <c r="BW82" s="49" t="inlineStr">
        <is>
          <t>No</t>
        </is>
      </c>
      <c r="BX82" s="49" t="inlineStr">
        <is>
          <t xml:space="preserve">No Aplica                     </t>
        </is>
      </c>
    </row>
    <row r="83" ht="15" customHeight="1">
      <c r="A83" s="49" t="n">
        <v>1152193844</v>
      </c>
      <c r="B83" s="49" t="inlineStr">
        <is>
          <t>079</t>
        </is>
      </c>
      <c r="C83" s="49" t="n">
        <v>1152193844</v>
      </c>
      <c r="D83" s="49" t="inlineStr">
        <is>
          <t>CC</t>
        </is>
      </c>
      <c r="E83" s="49" t="inlineStr">
        <is>
          <t>DAVID VALLE SANTIAGO</t>
        </is>
      </c>
      <c r="F83" s="49" t="inlineStr">
        <is>
          <t>M</t>
        </is>
      </c>
      <c r="G83" s="49" t="inlineStr">
        <is>
          <t xml:space="preserve">A  </t>
        </is>
      </c>
      <c r="H83" s="49" t="inlineStr">
        <is>
          <t>+</t>
        </is>
      </c>
      <c r="I83" s="49" t="inlineStr">
        <is>
          <t>SOLTERO</t>
        </is>
      </c>
      <c r="J83" s="49" t="inlineStr">
        <is>
          <t xml:space="preserve">MEDELLÍN                      </t>
        </is>
      </c>
      <c r="K83" s="49" t="n">
        <v>0</v>
      </c>
      <c r="L83" s="49" t="inlineStr">
        <is>
          <t>14/11/1991</t>
        </is>
      </c>
      <c r="M83" s="49" t="inlineStr">
        <is>
          <t xml:space="preserve">SUPIA                         </t>
        </is>
      </c>
      <c r="N83" s="49" t="inlineStr">
        <is>
          <t xml:space="preserve">0                   </t>
        </is>
      </c>
      <c r="O83" s="49" t="inlineStr">
        <is>
          <t>3209183780</t>
        </is>
      </c>
      <c r="P83" s="49" t="inlineStr">
        <is>
          <t>Cl 45 F  80  81 301</t>
        </is>
      </c>
      <c r="Q83" s="49" t="inlineStr">
        <is>
          <t>santiagodavidv@gmail.com</t>
        </is>
      </c>
      <c r="R83" s="49" t="inlineStr">
        <is>
          <t>JEFE DE TIERRAS</t>
        </is>
      </c>
      <c r="S83" s="108" t="n">
        <v>91.66666600000001</v>
      </c>
      <c r="T83" s="108" t="n">
        <v>0</v>
      </c>
      <c r="U83" s="108" t="n">
        <v>220</v>
      </c>
      <c r="V83" s="49" t="inlineStr">
        <is>
          <t>CONSIG. CTA AHORROS</t>
        </is>
      </c>
      <c r="W83" s="49" t="inlineStr">
        <is>
          <t xml:space="preserve">BANCOLOMBIA S.A.              </t>
        </is>
      </c>
      <c r="X83" s="49" t="inlineStr">
        <is>
          <t xml:space="preserve">00956745896              </t>
        </is>
      </c>
      <c r="Y83" s="49" t="inlineStr">
        <is>
          <t xml:space="preserve">NO APLICA                     </t>
        </is>
      </c>
      <c r="Z83" s="49" t="inlineStr">
        <is>
          <t>CM0603-LEG</t>
        </is>
      </c>
      <c r="AA83" s="49" t="inlineStr">
        <is>
          <t>CM0603-LEG</t>
        </is>
      </c>
      <c r="AB83" s="49" t="inlineStr">
        <is>
          <t xml:space="preserve">01 </t>
        </is>
      </c>
      <c r="AC83" s="49" t="inlineStr">
        <is>
          <t xml:space="preserve">                </t>
        </is>
      </c>
      <c r="AD83" s="49" t="inlineStr">
        <is>
          <t>LEY 50</t>
        </is>
      </c>
      <c r="AE83" s="49" t="inlineStr">
        <is>
          <t>No</t>
        </is>
      </c>
      <c r="AF83" s="49" t="inlineStr">
        <is>
          <t>Normal</t>
        </is>
      </c>
      <c r="AG83" s="49" t="n"/>
      <c r="AH83" s="49" t="inlineStr">
        <is>
          <t>Si</t>
        </is>
      </c>
      <c r="AI83" s="49" t="inlineStr">
        <is>
          <t xml:space="preserve">Normal              </t>
        </is>
      </c>
      <c r="AJ83" s="49" t="inlineStr">
        <is>
          <t xml:space="preserve">Quincenal                     </t>
        </is>
      </c>
      <c r="AK83" s="49" t="inlineStr">
        <is>
          <t>NO</t>
        </is>
      </c>
      <c r="AL83" s="49" t="inlineStr">
        <is>
          <t>NO</t>
        </is>
      </c>
      <c r="AM83" s="49" t="inlineStr">
        <is>
          <t>04/06/2024</t>
        </is>
      </c>
      <c r="AN83" s="49" t="n"/>
      <c r="AO83" s="49" t="n"/>
      <c r="AP83" s="49" t="inlineStr">
        <is>
          <t xml:space="preserve">NO APLICA                </t>
        </is>
      </c>
      <c r="AQ83" s="49" t="n">
        <v>137</v>
      </c>
      <c r="AR83" s="49" t="inlineStr">
        <is>
          <t>01</t>
        </is>
      </c>
      <c r="AS83" s="49" t="n">
        <v>1</v>
      </c>
      <c r="AT83" s="49" t="inlineStr">
        <is>
          <t>No</t>
        </is>
      </c>
      <c r="AU83" s="49" t="n">
        <v>0</v>
      </c>
      <c r="AV83" s="108" t="n">
        <v>999116</v>
      </c>
      <c r="AW83" s="108" t="n">
        <v>335928</v>
      </c>
      <c r="AX83" s="108" t="n">
        <v>0</v>
      </c>
      <c r="AY83" s="49" t="inlineStr">
        <is>
          <t>No</t>
        </is>
      </c>
      <c r="AZ83" s="49" t="n">
        <v>192510</v>
      </c>
      <c r="BA83" s="49" t="inlineStr">
        <is>
          <t>SANITAS E.P.S</t>
        </is>
      </c>
      <c r="BB83" s="49" t="inlineStr">
        <is>
          <t>PROTECCION A.F.P</t>
        </is>
      </c>
      <c r="BC83" s="49" t="inlineStr">
        <is>
          <t>CCF COMFENALCO ANTIOQUIA</t>
        </is>
      </c>
      <c r="BD83" s="49" t="inlineStr">
        <is>
          <t>RIESGOS PROFESIONALES COLMENA S.A.</t>
        </is>
      </c>
      <c r="BE83" s="49" t="inlineStr">
        <is>
          <t>PROTECCION CESANTIAS</t>
        </is>
      </c>
      <c r="BF83" s="49" t="n">
        <v>6.96</v>
      </c>
      <c r="BG83" s="49" t="n">
        <v>220</v>
      </c>
      <c r="BH83" s="49" t="n">
        <v>15</v>
      </c>
      <c r="BI83" s="49" t="inlineStr">
        <is>
          <t xml:space="preserve">0           </t>
        </is>
      </c>
      <c r="BJ83" s="49" t="inlineStr">
        <is>
          <t xml:space="preserve">NO APLICA                               </t>
        </is>
      </c>
      <c r="BK83" s="49" t="inlineStr">
        <is>
          <t>02</t>
        </is>
      </c>
      <c r="BL83" s="49" t="inlineStr">
        <is>
          <t xml:space="preserve">Caldas                                  </t>
        </is>
      </c>
      <c r="BM83" s="49" t="inlineStr">
        <is>
          <t>02</t>
        </is>
      </c>
      <c r="BN83" s="49" t="inlineStr">
        <is>
          <t xml:space="preserve">Supia                                   </t>
        </is>
      </c>
      <c r="BO83" s="49" t="inlineStr">
        <is>
          <t>0</t>
        </is>
      </c>
      <c r="BP83" s="49" t="inlineStr">
        <is>
          <t>NO APLICA</t>
        </is>
      </c>
      <c r="BQ83" s="49" t="inlineStr">
        <is>
          <t>0</t>
        </is>
      </c>
      <c r="BR83" s="49" t="inlineStr">
        <is>
          <t>NO APLICA</t>
        </is>
      </c>
      <c r="BS83" s="49" t="inlineStr">
        <is>
          <t>0</t>
        </is>
      </c>
      <c r="BT83" s="49" t="inlineStr">
        <is>
          <t>NO APLICA</t>
        </is>
      </c>
      <c r="BU83" s="49" t="inlineStr">
        <is>
          <t>0</t>
        </is>
      </c>
      <c r="BV83" s="49" t="inlineStr">
        <is>
          <t>NO APLICA</t>
        </is>
      </c>
      <c r="BW83" s="49" t="inlineStr">
        <is>
          <t>No</t>
        </is>
      </c>
      <c r="BX83" s="49" t="inlineStr">
        <is>
          <t xml:space="preserve">No Aplica                     </t>
        </is>
      </c>
    </row>
    <row r="84" ht="15" customHeight="1">
      <c r="A84" s="49" t="n">
        <v>1192799435</v>
      </c>
      <c r="B84" s="49" t="inlineStr">
        <is>
          <t>104</t>
        </is>
      </c>
      <c r="C84" s="49" t="n">
        <v>1192799435</v>
      </c>
      <c r="D84" s="49" t="inlineStr">
        <is>
          <t>CC</t>
        </is>
      </c>
      <c r="E84" s="49" t="inlineStr">
        <is>
          <t>VILLAMIL SEDANO SANTIAGO</t>
        </is>
      </c>
      <c r="F84" s="49" t="inlineStr">
        <is>
          <t>M</t>
        </is>
      </c>
      <c r="G84" s="49" t="inlineStr">
        <is>
          <t xml:space="preserve">O  </t>
        </is>
      </c>
      <c r="H84" s="49" t="inlineStr">
        <is>
          <t>+</t>
        </is>
      </c>
      <c r="I84" s="49" t="inlineStr">
        <is>
          <t>SOLTERO</t>
        </is>
      </c>
      <c r="J84" s="49" t="inlineStr">
        <is>
          <t xml:space="preserve">CALI                          </t>
        </is>
      </c>
      <c r="K84" s="49" t="n">
        <v>0</v>
      </c>
      <c r="L84" s="49" t="inlineStr">
        <is>
          <t>11/11/2000</t>
        </is>
      </c>
      <c r="M84" s="49" t="inlineStr">
        <is>
          <t xml:space="preserve">SUPIA                         </t>
        </is>
      </c>
      <c r="N84" s="49" t="inlineStr">
        <is>
          <t xml:space="preserve">NA                  </t>
        </is>
      </c>
      <c r="O84" s="49" t="inlineStr">
        <is>
          <t>3003406959</t>
        </is>
      </c>
      <c r="P84" s="49" t="inlineStr">
        <is>
          <t>CL 70  20-15 AP 601</t>
        </is>
      </c>
      <c r="Q84" s="49" t="inlineStr">
        <is>
          <t>santiagovillamilsedano@outlook.com</t>
        </is>
      </c>
      <c r="R84" s="49" t="inlineStr">
        <is>
          <t>GEOLOGO JUNIOR</t>
        </is>
      </c>
      <c r="S84" s="108" t="n">
        <v>91.66666600000001</v>
      </c>
      <c r="T84" s="108" t="n">
        <v>0</v>
      </c>
      <c r="U84" s="108" t="n">
        <v>220</v>
      </c>
      <c r="V84" s="49" t="inlineStr">
        <is>
          <t>CONSIG. CTA AHORROS</t>
        </is>
      </c>
      <c r="W84" s="49" t="inlineStr">
        <is>
          <t xml:space="preserve">BANCOLOMBIA S.A.              </t>
        </is>
      </c>
      <c r="X84" s="49" t="inlineStr">
        <is>
          <t xml:space="preserve">75079040495              </t>
        </is>
      </c>
      <c r="Y84" s="49" t="inlineStr">
        <is>
          <t xml:space="preserve">NO APLICA                     </t>
        </is>
      </c>
      <c r="Z84" s="49" t="inlineStr">
        <is>
          <t>CM0100-EXP</t>
        </is>
      </c>
      <c r="AA84" s="49" t="inlineStr">
        <is>
          <t>CM0100-EXP</t>
        </is>
      </c>
      <c r="AB84" s="49" t="inlineStr">
        <is>
          <t xml:space="preserve">01 </t>
        </is>
      </c>
      <c r="AC84" s="49" t="inlineStr">
        <is>
          <t xml:space="preserve">                </t>
        </is>
      </c>
      <c r="AD84" s="49" t="inlineStr">
        <is>
          <t>LEY 50</t>
        </is>
      </c>
      <c r="AE84" s="49" t="inlineStr">
        <is>
          <t>No</t>
        </is>
      </c>
      <c r="AF84" s="49" t="inlineStr">
        <is>
          <t>Normal</t>
        </is>
      </c>
      <c r="AG84" s="49" t="n"/>
      <c r="AH84" s="49" t="inlineStr">
        <is>
          <t>Si</t>
        </is>
      </c>
      <c r="AI84" s="49" t="inlineStr">
        <is>
          <t xml:space="preserve">Normal              </t>
        </is>
      </c>
      <c r="AJ84" s="49" t="inlineStr">
        <is>
          <t xml:space="preserve">Quincenal                     </t>
        </is>
      </c>
      <c r="AK84" s="49" t="inlineStr">
        <is>
          <t>NO</t>
        </is>
      </c>
      <c r="AL84" s="49" t="inlineStr">
        <is>
          <t>NO</t>
        </is>
      </c>
      <c r="AM84" s="49" t="inlineStr">
        <is>
          <t>08/01/2025</t>
        </is>
      </c>
      <c r="AN84" s="49" t="n"/>
      <c r="AO84" s="49" t="n"/>
      <c r="AP84" s="49" t="inlineStr">
        <is>
          <t xml:space="preserve">NO APLICA                </t>
        </is>
      </c>
      <c r="AQ84" s="49" t="n">
        <v>162</v>
      </c>
      <c r="AR84" s="49" t="inlineStr">
        <is>
          <t>01</t>
        </is>
      </c>
      <c r="AS84" s="49" t="n">
        <v>1</v>
      </c>
      <c r="AT84" s="49" t="inlineStr">
        <is>
          <t>No</t>
        </is>
      </c>
      <c r="AU84" s="49" t="n">
        <v>0</v>
      </c>
      <c r="AV84" s="108" t="n">
        <v>0</v>
      </c>
      <c r="AW84" s="108" t="n">
        <v>0</v>
      </c>
      <c r="AX84" s="108" t="n">
        <v>0</v>
      </c>
      <c r="AY84" s="49" t="inlineStr">
        <is>
          <t>No</t>
        </is>
      </c>
      <c r="AZ84" s="49" t="n">
        <v>0</v>
      </c>
      <c r="BA84" s="49" t="inlineStr">
        <is>
          <t>SANITAS E.P.S</t>
        </is>
      </c>
      <c r="BB84" s="49" t="inlineStr">
        <is>
          <t>PORVENIR A.F.P.</t>
        </is>
      </c>
      <c r="BC84" s="49" t="inlineStr">
        <is>
          <t>CCF DE CALDAS</t>
        </is>
      </c>
      <c r="BD84" s="49" t="inlineStr">
        <is>
          <t>RIESGOS PROFESIONALES COLMENA S.A.</t>
        </is>
      </c>
      <c r="BE84" s="49" t="inlineStr">
        <is>
          <t>PORVENIR CESANTIAS</t>
        </is>
      </c>
      <c r="BF84" s="49" t="n">
        <v>6.96</v>
      </c>
      <c r="BG84" s="49" t="n">
        <v>220</v>
      </c>
      <c r="BH84" s="49" t="n">
        <v>15</v>
      </c>
      <c r="BI84" s="49" t="inlineStr">
        <is>
          <t xml:space="preserve">0           </t>
        </is>
      </c>
      <c r="BJ84" s="49" t="inlineStr">
        <is>
          <t xml:space="preserve">NO APLICA                               </t>
        </is>
      </c>
      <c r="BK84" s="49" t="inlineStr">
        <is>
          <t>02</t>
        </is>
      </c>
      <c r="BL84" s="49" t="inlineStr">
        <is>
          <t xml:space="preserve">Caldas                                  </t>
        </is>
      </c>
      <c r="BM84" s="49" t="inlineStr">
        <is>
          <t>02</t>
        </is>
      </c>
      <c r="BN84" s="49" t="inlineStr">
        <is>
          <t xml:space="preserve">Supia                                   </t>
        </is>
      </c>
      <c r="BO84" s="49" t="inlineStr">
        <is>
          <t>0</t>
        </is>
      </c>
      <c r="BP84" s="49" t="inlineStr">
        <is>
          <t>NO APLICA</t>
        </is>
      </c>
      <c r="BQ84" s="49" t="inlineStr">
        <is>
          <t>0</t>
        </is>
      </c>
      <c r="BR84" s="49" t="inlineStr">
        <is>
          <t>NO APLICA</t>
        </is>
      </c>
      <c r="BS84" s="49" t="inlineStr">
        <is>
          <t>0</t>
        </is>
      </c>
      <c r="BT84" s="49" t="inlineStr">
        <is>
          <t>NO APLICA</t>
        </is>
      </c>
      <c r="BU84" s="49" t="inlineStr">
        <is>
          <t>0</t>
        </is>
      </c>
      <c r="BV84" s="49" t="inlineStr">
        <is>
          <t>NO APLICA</t>
        </is>
      </c>
      <c r="BW84" s="49" t="inlineStr">
        <is>
          <t>No</t>
        </is>
      </c>
      <c r="BX84" s="49" t="inlineStr">
        <is>
          <t xml:space="preserve">No Aplica                     </t>
        </is>
      </c>
    </row>
    <row r="85" ht="22.5" customHeight="1">
      <c r="A85" s="49" t="n">
        <v>1192904166</v>
      </c>
      <c r="B85" s="49" t="inlineStr">
        <is>
          <t xml:space="preserve"> 136</t>
        </is>
      </c>
      <c r="C85" s="49" t="n">
        <v>1192904166</v>
      </c>
      <c r="D85" s="49" t="inlineStr">
        <is>
          <t>CC</t>
        </is>
      </c>
      <c r="E85" s="49" t="inlineStr">
        <is>
          <t>OSORIO DIAZ JASON STEVENS</t>
        </is>
      </c>
      <c r="F85" s="49" t="inlineStr">
        <is>
          <t>M</t>
        </is>
      </c>
      <c r="G85" s="49" t="inlineStr">
        <is>
          <t xml:space="preserve">O  </t>
        </is>
      </c>
      <c r="H85" s="49" t="inlineStr">
        <is>
          <t>+</t>
        </is>
      </c>
      <c r="I85" s="49" t="inlineStr">
        <is>
          <t>SOLTERO</t>
        </is>
      </c>
      <c r="J85" s="49" t="inlineStr">
        <is>
          <t xml:space="preserve">SALAMINA                      </t>
        </is>
      </c>
      <c r="K85" s="49" t="n">
        <v>0</v>
      </c>
      <c r="L85" s="49" t="inlineStr">
        <is>
          <t>24/12/2000</t>
        </is>
      </c>
      <c r="M85" s="49" t="inlineStr">
        <is>
          <t xml:space="preserve">SUPIA                         </t>
        </is>
      </c>
      <c r="N85" s="49" t="inlineStr">
        <is>
          <t xml:space="preserve">NA                  </t>
        </is>
      </c>
      <c r="O85" s="49" t="inlineStr">
        <is>
          <t>3207916645</t>
        </is>
      </c>
      <c r="P85" s="49" t="inlineStr">
        <is>
          <t xml:space="preserve">CR 6  11 15 </t>
        </is>
      </c>
      <c r="Q85" s="49" t="inlineStr">
        <is>
          <t>jasonosorio2412@gmail.com</t>
        </is>
      </c>
      <c r="R85" s="49" t="inlineStr">
        <is>
          <t>GEOLOGO JUNIOR</t>
        </is>
      </c>
      <c r="S85" s="108" t="n">
        <v>91.66666600000001</v>
      </c>
      <c r="T85" s="108" t="n">
        <v>0</v>
      </c>
      <c r="U85" s="108" t="n">
        <v>220</v>
      </c>
      <c r="V85" s="49" t="inlineStr">
        <is>
          <t>CONSIG. CTA AHORROS</t>
        </is>
      </c>
      <c r="W85" s="49" t="inlineStr">
        <is>
          <t xml:space="preserve">BANCO DAVIVIENDA S.A.         </t>
        </is>
      </c>
      <c r="X85" s="49" t="inlineStr">
        <is>
          <t xml:space="preserve">84900070719              </t>
        </is>
      </c>
      <c r="Y85" s="49" t="inlineStr">
        <is>
          <t xml:space="preserve">NO APLICA                     </t>
        </is>
      </c>
      <c r="Z85" s="49" t="inlineStr">
        <is>
          <t>CM0100-EXP</t>
        </is>
      </c>
      <c r="AA85" s="49" t="inlineStr">
        <is>
          <t>CM0100-EXP</t>
        </is>
      </c>
      <c r="AB85" s="49" t="inlineStr">
        <is>
          <t xml:space="preserve">01 </t>
        </is>
      </c>
      <c r="AC85" s="49" t="inlineStr">
        <is>
          <t xml:space="preserve">                </t>
        </is>
      </c>
      <c r="AD85" s="49" t="inlineStr">
        <is>
          <t>LEY 50</t>
        </is>
      </c>
      <c r="AE85" s="49" t="inlineStr">
        <is>
          <t>No</t>
        </is>
      </c>
      <c r="AF85" s="49" t="inlineStr">
        <is>
          <t>Normal</t>
        </is>
      </c>
      <c r="AG85" s="49" t="n"/>
      <c r="AH85" s="49" t="inlineStr">
        <is>
          <t>Si</t>
        </is>
      </c>
      <c r="AI85" s="49" t="inlineStr">
        <is>
          <t xml:space="preserve">Normal              </t>
        </is>
      </c>
      <c r="AJ85" s="49" t="inlineStr">
        <is>
          <t xml:space="preserve">Quincenal                     </t>
        </is>
      </c>
      <c r="AK85" s="49" t="inlineStr">
        <is>
          <t>NO</t>
        </is>
      </c>
      <c r="AL85" s="49" t="inlineStr">
        <is>
          <t>NO</t>
        </is>
      </c>
      <c r="AM85" s="49" t="inlineStr">
        <is>
          <t>01/09/2025</t>
        </is>
      </c>
      <c r="AN85" s="49" t="n"/>
      <c r="AO85" s="49" t="n"/>
      <c r="AP85" s="49" t="inlineStr">
        <is>
          <t xml:space="preserve">NO APLICA                </t>
        </is>
      </c>
      <c r="AQ85" s="49" t="n">
        <v>194</v>
      </c>
      <c r="AR85" s="49" t="inlineStr">
        <is>
          <t>01</t>
        </is>
      </c>
      <c r="AS85" s="49" t="n">
        <v>1</v>
      </c>
      <c r="AT85" s="49" t="inlineStr">
        <is>
          <t>No</t>
        </is>
      </c>
      <c r="AU85" s="49" t="n">
        <v>0</v>
      </c>
      <c r="AV85" s="108" t="n">
        <v>0</v>
      </c>
      <c r="AW85" s="108" t="n">
        <v>0</v>
      </c>
      <c r="AX85" s="108" t="n">
        <v>0</v>
      </c>
      <c r="AY85" s="49" t="inlineStr">
        <is>
          <t>No</t>
        </is>
      </c>
      <c r="AZ85" s="49" t="n">
        <v>0</v>
      </c>
      <c r="BA85" s="49" t="inlineStr">
        <is>
          <t>SURA E.P.S.</t>
        </is>
      </c>
      <c r="BB85" s="49" t="inlineStr">
        <is>
          <t>COLPENSIONES - I.S.S. PENSION</t>
        </is>
      </c>
      <c r="BC85" s="49" t="inlineStr">
        <is>
          <t>CCF DE CALDAS</t>
        </is>
      </c>
      <c r="BD85" s="49" t="inlineStr">
        <is>
          <t>RIESGOS PROFESIONALES COLMENA S.A.</t>
        </is>
      </c>
      <c r="BE85" s="49" t="inlineStr">
        <is>
          <t>PROTECCION CESANTIAS</t>
        </is>
      </c>
      <c r="BF85" s="49" t="n">
        <v>6.96</v>
      </c>
      <c r="BG85" s="49" t="n">
        <v>220</v>
      </c>
      <c r="BH85" s="49" t="n">
        <v>15</v>
      </c>
      <c r="BI85" s="49" t="inlineStr">
        <is>
          <t xml:space="preserve">0           </t>
        </is>
      </c>
      <c r="BJ85" s="49" t="inlineStr">
        <is>
          <t xml:space="preserve">NO APLICA                               </t>
        </is>
      </c>
      <c r="BK85" s="49" t="inlineStr">
        <is>
          <t>02</t>
        </is>
      </c>
      <c r="BL85" s="49" t="inlineStr">
        <is>
          <t xml:space="preserve">Caldas                                  </t>
        </is>
      </c>
      <c r="BM85" s="49" t="inlineStr">
        <is>
          <t>04</t>
        </is>
      </c>
      <c r="BN85" s="49" t="inlineStr">
        <is>
          <t xml:space="preserve">Otros Lugares                           </t>
        </is>
      </c>
      <c r="BO85" s="49" t="inlineStr">
        <is>
          <t>0</t>
        </is>
      </c>
      <c r="BP85" s="49" t="inlineStr">
        <is>
          <t>NO APLICA</t>
        </is>
      </c>
      <c r="BQ85" s="49" t="inlineStr">
        <is>
          <t>0</t>
        </is>
      </c>
      <c r="BR85" s="49" t="inlineStr">
        <is>
          <t>NO APLICA</t>
        </is>
      </c>
      <c r="BS85" s="49" t="inlineStr">
        <is>
          <t>0</t>
        </is>
      </c>
      <c r="BT85" s="49" t="inlineStr">
        <is>
          <t>NO APLICA</t>
        </is>
      </c>
      <c r="BU85" s="49" t="inlineStr">
        <is>
          <t>0</t>
        </is>
      </c>
      <c r="BV85" s="49" t="inlineStr">
        <is>
          <t>NO APLICA</t>
        </is>
      </c>
      <c r="BW85" s="49" t="inlineStr">
        <is>
          <t>No</t>
        </is>
      </c>
      <c r="BX85" s="49" t="inlineStr">
        <is>
          <t xml:space="preserve">No Aplica                     </t>
        </is>
      </c>
    </row>
    <row r="86" ht="22.5" customHeight="1">
      <c r="A86" s="49" t="n">
        <v>1193029566</v>
      </c>
      <c r="B86" s="49" t="inlineStr">
        <is>
          <t>030</t>
        </is>
      </c>
      <c r="C86" s="49" t="n">
        <v>1193029566</v>
      </c>
      <c r="D86" s="49" t="inlineStr">
        <is>
          <t>CC</t>
        </is>
      </c>
      <c r="E86" s="49" t="inlineStr">
        <is>
          <t>MONSALVE ESTRADA JUAN SEBASTIAN</t>
        </is>
      </c>
      <c r="F86" s="49" t="inlineStr">
        <is>
          <t>M</t>
        </is>
      </c>
      <c r="G86" s="49" t="inlineStr">
        <is>
          <t xml:space="preserve">O  </t>
        </is>
      </c>
      <c r="H86" s="49" t="inlineStr">
        <is>
          <t>+</t>
        </is>
      </c>
      <c r="I86" s="49" t="inlineStr">
        <is>
          <t>SOLTERO</t>
        </is>
      </c>
      <c r="J86" s="49" t="inlineStr">
        <is>
          <t xml:space="preserve">ITUANGO                       </t>
        </is>
      </c>
      <c r="K86" s="49" t="n">
        <v>0</v>
      </c>
      <c r="L86" s="49" t="inlineStr">
        <is>
          <t>01/09/2000</t>
        </is>
      </c>
      <c r="M86" s="49" t="inlineStr">
        <is>
          <t xml:space="preserve">SUPIA                         </t>
        </is>
      </c>
      <c r="N86" s="49" t="inlineStr">
        <is>
          <t xml:space="preserve">3005339162          </t>
        </is>
      </c>
      <c r="O86" s="49" t="inlineStr">
        <is>
          <t>3005339162</t>
        </is>
      </c>
      <c r="P86" s="49" t="inlineStr">
        <is>
          <t>VEREDA LA DIVISA</t>
        </is>
      </c>
      <c r="Q86" s="49" t="inlineStr">
        <is>
          <t>juansemonsalve123@gmail.com</t>
        </is>
      </c>
      <c r="R86" s="49" t="inlineStr">
        <is>
          <t>AUXILIAR DE EXPLORACION Y CORTE I</t>
        </is>
      </c>
      <c r="S86" s="108" t="n">
        <v>91.66666600000001</v>
      </c>
      <c r="T86" s="108" t="n">
        <v>0</v>
      </c>
      <c r="U86" s="108" t="n">
        <v>220</v>
      </c>
      <c r="V86" s="49" t="inlineStr">
        <is>
          <t>CONSIG. CTA AHORROS</t>
        </is>
      </c>
      <c r="W86" s="49" t="inlineStr">
        <is>
          <t xml:space="preserve">BANCO DAVIVIENDA S.A.         </t>
        </is>
      </c>
      <c r="X86" s="49" t="inlineStr">
        <is>
          <t xml:space="preserve">488421671584             </t>
        </is>
      </c>
      <c r="Y86" s="49" t="inlineStr">
        <is>
          <t xml:space="preserve">NO APLICA                     </t>
        </is>
      </c>
      <c r="Z86" s="49" t="inlineStr">
        <is>
          <t>CM0100-EXP</t>
        </is>
      </c>
      <c r="AA86" s="49" t="inlineStr">
        <is>
          <t>CM0100-EXP</t>
        </is>
      </c>
      <c r="AB86" s="49" t="inlineStr">
        <is>
          <t xml:space="preserve">01 </t>
        </is>
      </c>
      <c r="AC86" s="49" t="inlineStr">
        <is>
          <t xml:space="preserve">0               </t>
        </is>
      </c>
      <c r="AD86" s="49" t="inlineStr">
        <is>
          <t>LEY 50</t>
        </is>
      </c>
      <c r="AE86" s="49" t="inlineStr">
        <is>
          <t>Si</t>
        </is>
      </c>
      <c r="AF86" s="49" t="inlineStr">
        <is>
          <t>Normal</t>
        </is>
      </c>
      <c r="AG86" s="49" t="n"/>
      <c r="AH86" s="49" t="inlineStr">
        <is>
          <t>Si</t>
        </is>
      </c>
      <c r="AI86" s="49" t="inlineStr">
        <is>
          <t xml:space="preserve">Normal              </t>
        </is>
      </c>
      <c r="AJ86" s="49" t="inlineStr">
        <is>
          <t xml:space="preserve">Quincenal                     </t>
        </is>
      </c>
      <c r="AK86" s="49" t="inlineStr">
        <is>
          <t>NO</t>
        </is>
      </c>
      <c r="AL86" s="49" t="inlineStr">
        <is>
          <t>NO</t>
        </is>
      </c>
      <c r="AM86" s="49" t="inlineStr">
        <is>
          <t>05/07/2022</t>
        </is>
      </c>
      <c r="AN86" s="49" t="n"/>
      <c r="AO86" s="49" t="n"/>
      <c r="AP86" s="49" t="inlineStr">
        <is>
          <t xml:space="preserve">NO APLICA                </t>
        </is>
      </c>
      <c r="AQ86" s="49" t="n">
        <v>33</v>
      </c>
      <c r="AR86" s="49" t="inlineStr">
        <is>
          <t>01</t>
        </is>
      </c>
      <c r="AS86" s="49" t="n">
        <v>1</v>
      </c>
      <c r="AT86" s="49" t="inlineStr">
        <is>
          <t>Si</t>
        </is>
      </c>
      <c r="AU86" s="49" t="n">
        <v>0</v>
      </c>
      <c r="AV86" s="108" t="n">
        <v>0</v>
      </c>
      <c r="AW86" s="108" t="n">
        <v>0</v>
      </c>
      <c r="AX86" s="108" t="n">
        <v>0</v>
      </c>
      <c r="AY86" s="49" t="inlineStr">
        <is>
          <t>No</t>
        </is>
      </c>
      <c r="AZ86" s="49" t="n">
        <v>97604</v>
      </c>
      <c r="BA86" s="49" t="inlineStr">
        <is>
          <t>SALUD TOTAL E.P.S.</t>
        </is>
      </c>
      <c r="BB86" s="49" t="inlineStr">
        <is>
          <t>PROTECCION A.F.P</t>
        </is>
      </c>
      <c r="BC86" s="49" t="inlineStr">
        <is>
          <t>CCF DE CALDAS</t>
        </is>
      </c>
      <c r="BD86" s="49" t="inlineStr">
        <is>
          <t>RIESGOS PROFESIONALES COLMENA S.A.</t>
        </is>
      </c>
      <c r="BE86" s="49" t="inlineStr">
        <is>
          <t>PROTECCION CESANTIAS</t>
        </is>
      </c>
      <c r="BF86" s="49" t="n">
        <v>6.96</v>
      </c>
      <c r="BG86" s="49" t="n">
        <v>220</v>
      </c>
      <c r="BH86" s="49" t="n">
        <v>15</v>
      </c>
      <c r="BI86" s="49" t="inlineStr">
        <is>
          <t xml:space="preserve">0           </t>
        </is>
      </c>
      <c r="BJ86" s="49" t="inlineStr">
        <is>
          <t xml:space="preserve">NO APLICA                               </t>
        </is>
      </c>
      <c r="BK86" s="49" t="inlineStr">
        <is>
          <t>02</t>
        </is>
      </c>
      <c r="BL86" s="49" t="inlineStr">
        <is>
          <t xml:space="preserve">Caldas                                  </t>
        </is>
      </c>
      <c r="BM86" s="49" t="inlineStr">
        <is>
          <t>02</t>
        </is>
      </c>
      <c r="BN86" s="49" t="inlineStr">
        <is>
          <t xml:space="preserve">Supia                                   </t>
        </is>
      </c>
      <c r="BO86" s="49" t="inlineStr">
        <is>
          <t>0</t>
        </is>
      </c>
      <c r="BP86" s="49" t="inlineStr">
        <is>
          <t>NO APLICA</t>
        </is>
      </c>
      <c r="BQ86" s="49" t="inlineStr">
        <is>
          <t>0</t>
        </is>
      </c>
      <c r="BR86" s="49" t="inlineStr">
        <is>
          <t>NO APLICA</t>
        </is>
      </c>
      <c r="BS86" s="49" t="inlineStr">
        <is>
          <t>0</t>
        </is>
      </c>
      <c r="BT86" s="49" t="inlineStr">
        <is>
          <t>NO APLICA</t>
        </is>
      </c>
      <c r="BU86" s="49" t="inlineStr">
        <is>
          <t>0</t>
        </is>
      </c>
      <c r="BV86" s="49" t="inlineStr">
        <is>
          <t>NO APLICA</t>
        </is>
      </c>
      <c r="BW86" s="49" t="inlineStr">
        <is>
          <t>No</t>
        </is>
      </c>
      <c r="BX86" s="49" t="inlineStr">
        <is>
          <t xml:space="preserve">No Aplica                     </t>
        </is>
      </c>
    </row>
    <row r="87" ht="15" customHeight="1">
      <c r="A87" s="49" t="n">
        <v>13511547</v>
      </c>
      <c r="B87" s="49" t="inlineStr">
        <is>
          <t>003</t>
        </is>
      </c>
      <c r="C87" s="49" t="n">
        <v>13511547</v>
      </c>
      <c r="D87" s="49" t="inlineStr">
        <is>
          <t>CC</t>
        </is>
      </c>
      <c r="E87" s="49" t="inlineStr">
        <is>
          <t>OSSMA GOMEZ OMAR DAVID</t>
        </is>
      </c>
      <c r="F87" s="49" t="inlineStr">
        <is>
          <t>M</t>
        </is>
      </c>
      <c r="G87" s="49" t="inlineStr">
        <is>
          <t xml:space="preserve">O  </t>
        </is>
      </c>
      <c r="H87" s="49" t="inlineStr">
        <is>
          <t>+</t>
        </is>
      </c>
      <c r="I87" s="49" t="inlineStr">
        <is>
          <t>CASADO</t>
        </is>
      </c>
      <c r="J87" s="49" t="inlineStr">
        <is>
          <t xml:space="preserve">BUCARAMANGA                   </t>
        </is>
      </c>
      <c r="K87" s="49" t="n">
        <v>0</v>
      </c>
      <c r="L87" s="49" t="inlineStr">
        <is>
          <t>08/12/1977</t>
        </is>
      </c>
      <c r="M87" s="49" t="inlineStr">
        <is>
          <t xml:space="preserve">MEDELLÍN                      </t>
        </is>
      </c>
      <c r="N87" s="49" t="inlineStr">
        <is>
          <t xml:space="preserve">3115020980          </t>
        </is>
      </c>
      <c r="O87" s="49" t="inlineStr">
        <is>
          <t>3115020980</t>
        </is>
      </c>
      <c r="P87" s="49" t="inlineStr">
        <is>
          <t>CRA 15 19 SUR 53 CASA 103 VALLADOS DE GR</t>
        </is>
      </c>
      <c r="Q87" s="49" t="inlineStr">
        <is>
          <t>o.ossma@collectivemining.com</t>
        </is>
      </c>
      <c r="R87" s="49" t="inlineStr">
        <is>
          <t>PRESIDENTE</t>
        </is>
      </c>
      <c r="S87" s="108" t="n">
        <v>91.66666600000001</v>
      </c>
      <c r="T87" s="108" t="n">
        <v>0</v>
      </c>
      <c r="U87" s="108" t="n">
        <v>220</v>
      </c>
      <c r="V87" s="49" t="inlineStr">
        <is>
          <t>CONSIG. CTA AHORROS</t>
        </is>
      </c>
      <c r="W87" s="49" t="inlineStr">
        <is>
          <t xml:space="preserve">SCOTIABANK COLPATRIA          </t>
        </is>
      </c>
      <c r="X87" s="49" t="inlineStr">
        <is>
          <t xml:space="preserve">1542015328               </t>
        </is>
      </c>
      <c r="Y87" s="49" t="inlineStr">
        <is>
          <t xml:space="preserve">NO APLICA                     </t>
        </is>
      </c>
      <c r="Z87" s="49" t="inlineStr">
        <is>
          <t>CM0600-PRE</t>
        </is>
      </c>
      <c r="AA87" s="49" t="inlineStr">
        <is>
          <t>CM0600-PRE</t>
        </is>
      </c>
      <c r="AB87" s="49" t="inlineStr">
        <is>
          <t xml:space="preserve">01 </t>
        </is>
      </c>
      <c r="AC87" s="49" t="inlineStr">
        <is>
          <t xml:space="preserve">0               </t>
        </is>
      </c>
      <c r="AD87" s="49" t="inlineStr">
        <is>
          <t>LEY 50</t>
        </is>
      </c>
      <c r="AE87" s="49" t="inlineStr">
        <is>
          <t>No</t>
        </is>
      </c>
      <c r="AF87" s="49" t="inlineStr">
        <is>
          <t>Integral</t>
        </is>
      </c>
      <c r="AG87" s="49" t="n"/>
      <c r="AH87" s="49" t="inlineStr">
        <is>
          <t>Si</t>
        </is>
      </c>
      <c r="AI87" s="49" t="inlineStr">
        <is>
          <t xml:space="preserve">Normal              </t>
        </is>
      </c>
      <c r="AJ87" s="49" t="inlineStr">
        <is>
          <t xml:space="preserve">Quincenal                     </t>
        </is>
      </c>
      <c r="AK87" s="49" t="inlineStr">
        <is>
          <t>NO</t>
        </is>
      </c>
      <c r="AL87" s="49" t="inlineStr">
        <is>
          <t>NO</t>
        </is>
      </c>
      <c r="AM87" s="49" t="inlineStr">
        <is>
          <t>15/08/2020</t>
        </is>
      </c>
      <c r="AN87" s="49" t="n"/>
      <c r="AO87" s="49" t="n"/>
      <c r="AP87" s="49" t="inlineStr">
        <is>
          <t xml:space="preserve">NO APLICA                </t>
        </is>
      </c>
      <c r="AQ87" s="49" t="n">
        <v>59</v>
      </c>
      <c r="AR87" s="49" t="inlineStr">
        <is>
          <t>01</t>
        </is>
      </c>
      <c r="AS87" s="49" t="n">
        <v>2</v>
      </c>
      <c r="AT87" s="49" t="inlineStr">
        <is>
          <t>No</t>
        </is>
      </c>
      <c r="AU87" s="49" t="n">
        <v>30.48</v>
      </c>
      <c r="AV87" s="108" t="n">
        <v>0</v>
      </c>
      <c r="AW87" s="108" t="n">
        <v>0</v>
      </c>
      <c r="AX87" s="108" t="n">
        <v>1</v>
      </c>
      <c r="AY87" s="49" t="inlineStr">
        <is>
          <t>No</t>
        </is>
      </c>
      <c r="AZ87" s="49" t="n">
        <v>1300000</v>
      </c>
      <c r="BA87" s="49" t="inlineStr">
        <is>
          <t>SURA E.P.S.</t>
        </is>
      </c>
      <c r="BB87" s="49" t="inlineStr">
        <is>
          <t>COLPENSIONES - I.S.S. PENSION</t>
        </is>
      </c>
      <c r="BC87" s="49" t="inlineStr">
        <is>
          <t>CCF COMFENALCO ANTIOQUIA</t>
        </is>
      </c>
      <c r="BD87" s="49" t="inlineStr">
        <is>
          <t>RIESGOS PROFESIONALES COLMENA S.A.</t>
        </is>
      </c>
      <c r="BE87" s="49" t="inlineStr">
        <is>
          <t>PORVENIR CESANTIAS</t>
        </is>
      </c>
      <c r="BF87" s="49" t="n">
        <v>0.522</v>
      </c>
      <c r="BG87" s="49" t="n">
        <v>220</v>
      </c>
      <c r="BH87" s="49" t="n">
        <v>15</v>
      </c>
      <c r="BI87" s="49" t="inlineStr">
        <is>
          <t xml:space="preserve">0           </t>
        </is>
      </c>
      <c r="BJ87" s="49" t="inlineStr">
        <is>
          <t xml:space="preserve">NO APLICA                               </t>
        </is>
      </c>
      <c r="BK87" s="49" t="inlineStr">
        <is>
          <t>01</t>
        </is>
      </c>
      <c r="BL87" s="49" t="inlineStr">
        <is>
          <t xml:space="preserve">Antioquia                               </t>
        </is>
      </c>
      <c r="BM87" s="49" t="inlineStr">
        <is>
          <t>04</t>
        </is>
      </c>
      <c r="BN87" s="49" t="inlineStr">
        <is>
          <t xml:space="preserve">Otros Lugares                           </t>
        </is>
      </c>
      <c r="BO87" s="49" t="inlineStr">
        <is>
          <t>0</t>
        </is>
      </c>
      <c r="BP87" s="49" t="inlineStr">
        <is>
          <t>NO APLICA</t>
        </is>
      </c>
      <c r="BQ87" s="49" t="inlineStr">
        <is>
          <t>0</t>
        </is>
      </c>
      <c r="BR87" s="49" t="inlineStr">
        <is>
          <t>NO APLICA</t>
        </is>
      </c>
      <c r="BS87" s="49" t="inlineStr">
        <is>
          <t>0</t>
        </is>
      </c>
      <c r="BT87" s="49" t="inlineStr">
        <is>
          <t>NO APLICA</t>
        </is>
      </c>
      <c r="BU87" s="49" t="inlineStr">
        <is>
          <t>0</t>
        </is>
      </c>
      <c r="BV87" s="49" t="inlineStr">
        <is>
          <t>NO APLICA</t>
        </is>
      </c>
      <c r="BW87" s="49" t="inlineStr">
        <is>
          <t>No</t>
        </is>
      </c>
      <c r="BX87" s="49" t="inlineStr">
        <is>
          <t xml:space="preserve">No Aplica                     </t>
        </is>
      </c>
    </row>
    <row r="88" ht="22.5" customHeight="1">
      <c r="A88" s="49" t="n">
        <v>15447956</v>
      </c>
      <c r="B88" s="49" t="inlineStr">
        <is>
          <t>014</t>
        </is>
      </c>
      <c r="C88" s="49" t="n">
        <v>15447956</v>
      </c>
      <c r="D88" s="49" t="inlineStr">
        <is>
          <t>CC</t>
        </is>
      </c>
      <c r="E88" s="49" t="inlineStr">
        <is>
          <t>HERRERA OSORIO JHON ALBERTO</t>
        </is>
      </c>
      <c r="F88" s="49" t="inlineStr">
        <is>
          <t>M</t>
        </is>
      </c>
      <c r="G88" s="49" t="inlineStr">
        <is>
          <t xml:space="preserve">O  </t>
        </is>
      </c>
      <c r="H88" s="49" t="inlineStr">
        <is>
          <t>+</t>
        </is>
      </c>
      <c r="I88" s="49" t="inlineStr">
        <is>
          <t>CASADO</t>
        </is>
      </c>
      <c r="J88" s="49" t="inlineStr">
        <is>
          <t xml:space="preserve">RIONEGRO                      </t>
        </is>
      </c>
      <c r="K88" s="49" t="n">
        <v>0</v>
      </c>
      <c r="L88" s="49" t="inlineStr">
        <is>
          <t>10/01/1985</t>
        </is>
      </c>
      <c r="M88" s="49" t="inlineStr">
        <is>
          <t xml:space="preserve">MEDELLÍN                      </t>
        </is>
      </c>
      <c r="N88" s="49" t="inlineStr">
        <is>
          <t xml:space="preserve">312227266           </t>
        </is>
      </c>
      <c r="O88" s="49" t="inlineStr">
        <is>
          <t>312227266</t>
        </is>
      </c>
      <c r="P88" s="49" t="inlineStr">
        <is>
          <t>Carrera 51 # 43 15</t>
        </is>
      </c>
      <c r="Q88" s="49" t="inlineStr">
        <is>
          <t>j.herrera@collectivemining.com</t>
        </is>
      </c>
      <c r="R88" s="49" t="inlineStr">
        <is>
          <t>SUPPLY AND LOGISTICS MANAGER</t>
        </is>
      </c>
      <c r="S88" s="108" t="n">
        <v>91.66666600000001</v>
      </c>
      <c r="T88" s="108" t="n">
        <v>0</v>
      </c>
      <c r="U88" s="108" t="n">
        <v>220</v>
      </c>
      <c r="V88" s="49" t="inlineStr">
        <is>
          <t>CONSIG. CTA AHORROS</t>
        </is>
      </c>
      <c r="W88" s="49" t="inlineStr">
        <is>
          <t xml:space="preserve">BANCOLOMBIA S.A.              </t>
        </is>
      </c>
      <c r="X88" s="49" t="inlineStr">
        <is>
          <t xml:space="preserve">26743010549              </t>
        </is>
      </c>
      <c r="Y88" s="49" t="inlineStr">
        <is>
          <t xml:space="preserve">NO APLICA                     </t>
        </is>
      </c>
      <c r="Z88" s="49" t="inlineStr">
        <is>
          <t>CM0500-LOG</t>
        </is>
      </c>
      <c r="AA88" s="49" t="inlineStr">
        <is>
          <t>CM0500-LOG</t>
        </is>
      </c>
      <c r="AB88" s="49" t="inlineStr">
        <is>
          <t xml:space="preserve">01 </t>
        </is>
      </c>
      <c r="AC88" s="49" t="inlineStr">
        <is>
          <t xml:space="preserve">0               </t>
        </is>
      </c>
      <c r="AD88" s="49" t="inlineStr">
        <is>
          <t>LEY 50</t>
        </is>
      </c>
      <c r="AE88" s="49" t="inlineStr">
        <is>
          <t>Si</t>
        </is>
      </c>
      <c r="AF88" s="49" t="inlineStr">
        <is>
          <t>Integral</t>
        </is>
      </c>
      <c r="AG88" s="49" t="n"/>
      <c r="AH88" s="49" t="inlineStr">
        <is>
          <t>Si</t>
        </is>
      </c>
      <c r="AI88" s="49" t="inlineStr">
        <is>
          <t xml:space="preserve">Normal              </t>
        </is>
      </c>
      <c r="AJ88" s="49" t="inlineStr">
        <is>
          <t xml:space="preserve">Quincenal                     </t>
        </is>
      </c>
      <c r="AK88" s="49" t="inlineStr">
        <is>
          <t>NO</t>
        </is>
      </c>
      <c r="AL88" s="49" t="inlineStr">
        <is>
          <t>NO</t>
        </is>
      </c>
      <c r="AM88" s="49" t="inlineStr">
        <is>
          <t>01/07/2021</t>
        </is>
      </c>
      <c r="AN88" s="49" t="n"/>
      <c r="AO88" s="49" t="n"/>
      <c r="AP88" s="49" t="inlineStr">
        <is>
          <t xml:space="preserve">NO APLICA                </t>
        </is>
      </c>
      <c r="AQ88" s="49" t="n">
        <v>60</v>
      </c>
      <c r="AR88" s="49" t="inlineStr">
        <is>
          <t>01</t>
        </is>
      </c>
      <c r="AS88" s="49" t="n">
        <v>1</v>
      </c>
      <c r="AT88" s="49" t="inlineStr">
        <is>
          <t>Si</t>
        </is>
      </c>
      <c r="AU88" s="49" t="n">
        <v>0</v>
      </c>
      <c r="AV88" s="108" t="n">
        <v>0</v>
      </c>
      <c r="AW88" s="108" t="n">
        <v>0</v>
      </c>
      <c r="AX88" s="108" t="n">
        <v>0</v>
      </c>
      <c r="AY88" s="49" t="inlineStr">
        <is>
          <t>No</t>
        </is>
      </c>
      <c r="AZ88" s="49" t="n">
        <v>471879</v>
      </c>
      <c r="BA88" s="49" t="inlineStr">
        <is>
          <t>SALUD TOTAL E.P.S.</t>
        </is>
      </c>
      <c r="BB88" s="49" t="inlineStr">
        <is>
          <t>PROTECCION A.F.P</t>
        </is>
      </c>
      <c r="BC88" s="49" t="inlineStr">
        <is>
          <t>CCF COMFENALCO ANTIOQUIA</t>
        </is>
      </c>
      <c r="BD88" s="49" t="inlineStr">
        <is>
          <t>RIESGOS PROFESIONALES COLMENA S.A.</t>
        </is>
      </c>
      <c r="BE88" s="49" t="inlineStr">
        <is>
          <t>PROTECCION CESANTIAS</t>
        </is>
      </c>
      <c r="BF88" s="49" t="n">
        <v>0.522</v>
      </c>
      <c r="BG88" s="49" t="n">
        <v>220</v>
      </c>
      <c r="BH88" s="49" t="n">
        <v>15</v>
      </c>
      <c r="BI88" s="49" t="inlineStr">
        <is>
          <t xml:space="preserve">0           </t>
        </is>
      </c>
      <c r="BJ88" s="49" t="inlineStr">
        <is>
          <t xml:space="preserve">NO APLICA                               </t>
        </is>
      </c>
      <c r="BK88" s="49" t="inlineStr">
        <is>
          <t>02</t>
        </is>
      </c>
      <c r="BL88" s="49" t="inlineStr">
        <is>
          <t xml:space="preserve">Caldas                                  </t>
        </is>
      </c>
      <c r="BM88" s="49" t="inlineStr">
        <is>
          <t>02</t>
        </is>
      </c>
      <c r="BN88" s="49" t="inlineStr">
        <is>
          <t xml:space="preserve">Supia                                   </t>
        </is>
      </c>
      <c r="BO88" s="49" t="inlineStr">
        <is>
          <t>0</t>
        </is>
      </c>
      <c r="BP88" s="49" t="inlineStr">
        <is>
          <t>NO APLICA</t>
        </is>
      </c>
      <c r="BQ88" s="49" t="inlineStr">
        <is>
          <t>0</t>
        </is>
      </c>
      <c r="BR88" s="49" t="inlineStr">
        <is>
          <t>NO APLICA</t>
        </is>
      </c>
      <c r="BS88" s="49" t="inlineStr">
        <is>
          <t>0</t>
        </is>
      </c>
      <c r="BT88" s="49" t="inlineStr">
        <is>
          <t>NO APLICA</t>
        </is>
      </c>
      <c r="BU88" s="49" t="inlineStr">
        <is>
          <t>0</t>
        </is>
      </c>
      <c r="BV88" s="49" t="inlineStr">
        <is>
          <t>NO APLICA</t>
        </is>
      </c>
      <c r="BW88" s="49" t="inlineStr">
        <is>
          <t>No</t>
        </is>
      </c>
      <c r="BX88" s="49" t="inlineStr">
        <is>
          <t xml:space="preserve">No Aplica                     </t>
        </is>
      </c>
    </row>
    <row r="89" ht="22.5" customHeight="1">
      <c r="A89" s="49" t="n">
        <v>15923454</v>
      </c>
      <c r="B89" s="49" t="inlineStr">
        <is>
          <t>055</t>
        </is>
      </c>
      <c r="C89" s="49" t="n">
        <v>15923454</v>
      </c>
      <c r="D89" s="49" t="inlineStr">
        <is>
          <t>CC</t>
        </is>
      </c>
      <c r="E89" s="49" t="inlineStr">
        <is>
          <t>LADINO ALVAREZ JHON JAIRO</t>
        </is>
      </c>
      <c r="F89" s="49" t="inlineStr">
        <is>
          <t>M</t>
        </is>
      </c>
      <c r="G89" s="49" t="inlineStr">
        <is>
          <t xml:space="preserve">O  </t>
        </is>
      </c>
      <c r="H89" s="49" t="inlineStr">
        <is>
          <t>+</t>
        </is>
      </c>
      <c r="I89" s="49" t="inlineStr">
        <is>
          <t>CASADO</t>
        </is>
      </c>
      <c r="J89" s="49" t="inlineStr">
        <is>
          <t xml:space="preserve">RIOSUCIO                      </t>
        </is>
      </c>
      <c r="K89" s="49" t="n">
        <v>0</v>
      </c>
      <c r="L89" s="49" t="inlineStr">
        <is>
          <t>26/01/1978</t>
        </is>
      </c>
      <c r="M89" s="49" t="inlineStr">
        <is>
          <t xml:space="preserve">SUPIA                         </t>
        </is>
      </c>
      <c r="N89" s="49" t="inlineStr">
        <is>
          <t xml:space="preserve">NA                  </t>
        </is>
      </c>
      <c r="O89" s="49" t="inlineStr">
        <is>
          <t>314 8756166</t>
        </is>
      </c>
      <c r="P89" s="49" t="inlineStr">
        <is>
          <t xml:space="preserve"> CR 10  8 22 </t>
        </is>
      </c>
      <c r="Q89" s="49" t="inlineStr">
        <is>
          <t>avispa26@hotmail.com</t>
        </is>
      </c>
      <c r="R89" s="49" t="inlineStr">
        <is>
          <t>SUPERVISOR DE PROTECCIÓN</t>
        </is>
      </c>
      <c r="S89" s="108" t="n">
        <v>91.66666600000001</v>
      </c>
      <c r="T89" s="108" t="n">
        <v>0</v>
      </c>
      <c r="U89" s="108" t="n">
        <v>220</v>
      </c>
      <c r="V89" s="49" t="inlineStr">
        <is>
          <t>CONSIG. CTA AHORROS</t>
        </is>
      </c>
      <c r="W89" s="49" t="inlineStr">
        <is>
          <t xml:space="preserve">BBVA COLOMBIA                 </t>
        </is>
      </c>
      <c r="X89" s="49" t="inlineStr">
        <is>
          <t xml:space="preserve">400336384                </t>
        </is>
      </c>
      <c r="Y89" s="49" t="inlineStr">
        <is>
          <t xml:space="preserve">NO APLICA                     </t>
        </is>
      </c>
      <c r="Z89" s="49" t="inlineStr">
        <is>
          <t>CM0400-PRO</t>
        </is>
      </c>
      <c r="AA89" s="49" t="inlineStr">
        <is>
          <t>CM0400-PRO</t>
        </is>
      </c>
      <c r="AB89" s="49" t="inlineStr">
        <is>
          <t xml:space="preserve">01 </t>
        </is>
      </c>
      <c r="AC89" s="49" t="inlineStr">
        <is>
          <t xml:space="preserve">                </t>
        </is>
      </c>
      <c r="AD89" s="49" t="inlineStr">
        <is>
          <t>LEY 50</t>
        </is>
      </c>
      <c r="AE89" s="49" t="inlineStr">
        <is>
          <t>No</t>
        </is>
      </c>
      <c r="AF89" s="49" t="inlineStr">
        <is>
          <t>Normal</t>
        </is>
      </c>
      <c r="AG89" s="49" t="n"/>
      <c r="AH89" s="49" t="inlineStr">
        <is>
          <t>Si</t>
        </is>
      </c>
      <c r="AI89" s="49" t="inlineStr">
        <is>
          <t xml:space="preserve">Normal              </t>
        </is>
      </c>
      <c r="AJ89" s="49" t="inlineStr">
        <is>
          <t xml:space="preserve">Quincenal                     </t>
        </is>
      </c>
      <c r="AK89" s="49" t="inlineStr">
        <is>
          <t>NO</t>
        </is>
      </c>
      <c r="AL89" s="49" t="inlineStr">
        <is>
          <t>NO</t>
        </is>
      </c>
      <c r="AM89" s="49" t="inlineStr">
        <is>
          <t>16/06/2023</t>
        </is>
      </c>
      <c r="AN89" s="49" t="n"/>
      <c r="AO89" s="49" t="n"/>
      <c r="AP89" s="49" t="inlineStr">
        <is>
          <t xml:space="preserve">NO APLICA                </t>
        </is>
      </c>
      <c r="AQ89" s="49" t="n">
        <v>101</v>
      </c>
      <c r="AR89" s="49" t="inlineStr">
        <is>
          <t>01</t>
        </is>
      </c>
      <c r="AS89" s="49" t="n">
        <v>1</v>
      </c>
      <c r="AT89" s="49" t="inlineStr">
        <is>
          <t>No</t>
        </is>
      </c>
      <c r="AU89" s="49" t="n">
        <v>0</v>
      </c>
      <c r="AV89" s="108" t="n">
        <v>0</v>
      </c>
      <c r="AW89" s="108" t="n">
        <v>0</v>
      </c>
      <c r="AX89" s="108" t="n">
        <v>1</v>
      </c>
      <c r="AY89" s="49" t="inlineStr">
        <is>
          <t>No</t>
        </is>
      </c>
      <c r="AZ89" s="49" t="n">
        <v>204844</v>
      </c>
      <c r="BA89" s="49" t="inlineStr">
        <is>
          <t>FOSYGA</t>
        </is>
      </c>
      <c r="BB89" s="49" t="inlineStr">
        <is>
          <t>PORVENIR A.F.P.</t>
        </is>
      </c>
      <c r="BC89" s="49" t="inlineStr">
        <is>
          <t>CCF DE CALDAS</t>
        </is>
      </c>
      <c r="BD89" s="49" t="inlineStr">
        <is>
          <t>RIESGOS PROFESIONALES COLMENA S.A.</t>
        </is>
      </c>
      <c r="BE89" s="49" t="inlineStr">
        <is>
          <t>PORVENIR CESANTIAS</t>
        </is>
      </c>
      <c r="BF89" s="49" t="n">
        <v>6.96</v>
      </c>
      <c r="BG89" s="49" t="n">
        <v>220</v>
      </c>
      <c r="BH89" s="49" t="n">
        <v>15</v>
      </c>
      <c r="BI89" s="49" t="inlineStr">
        <is>
          <t xml:space="preserve">0           </t>
        </is>
      </c>
      <c r="BJ89" s="49" t="inlineStr">
        <is>
          <t xml:space="preserve">NO APLICA                               </t>
        </is>
      </c>
      <c r="BK89" s="49" t="inlineStr">
        <is>
          <t>02</t>
        </is>
      </c>
      <c r="BL89" s="49" t="inlineStr">
        <is>
          <t xml:space="preserve">Caldas                                  </t>
        </is>
      </c>
      <c r="BM89" s="49" t="inlineStr">
        <is>
          <t>02</t>
        </is>
      </c>
      <c r="BN89" s="49" t="inlineStr">
        <is>
          <t xml:space="preserve">Supia                                   </t>
        </is>
      </c>
      <c r="BO89" s="49" t="inlineStr">
        <is>
          <t>0</t>
        </is>
      </c>
      <c r="BP89" s="49" t="inlineStr">
        <is>
          <t>NO APLICA</t>
        </is>
      </c>
      <c r="BQ89" s="49" t="inlineStr">
        <is>
          <t>0</t>
        </is>
      </c>
      <c r="BR89" s="49" t="inlineStr">
        <is>
          <t>NO APLICA</t>
        </is>
      </c>
      <c r="BS89" s="49" t="inlineStr">
        <is>
          <t>0</t>
        </is>
      </c>
      <c r="BT89" s="49" t="inlineStr">
        <is>
          <t>NO APLICA</t>
        </is>
      </c>
      <c r="BU89" s="49" t="inlineStr">
        <is>
          <t>0</t>
        </is>
      </c>
      <c r="BV89" s="49" t="inlineStr">
        <is>
          <t>NO APLICA</t>
        </is>
      </c>
      <c r="BW89" s="49" t="inlineStr">
        <is>
          <t>No</t>
        </is>
      </c>
      <c r="BX89" s="49" t="inlineStr">
        <is>
          <t xml:space="preserve">No Aplica                     </t>
        </is>
      </c>
    </row>
    <row r="90" ht="15" customHeight="1">
      <c r="A90" s="49" t="n">
        <v>15928324</v>
      </c>
      <c r="B90" s="49" t="inlineStr">
        <is>
          <t xml:space="preserve"> 116</t>
        </is>
      </c>
      <c r="C90" s="49" t="n">
        <v>15928324</v>
      </c>
      <c r="D90" s="49" t="inlineStr">
        <is>
          <t>CC</t>
        </is>
      </c>
      <c r="E90" s="49" t="inlineStr">
        <is>
          <t>ALVAREZ RINCON GERARDO ANTONIO</t>
        </is>
      </c>
      <c r="F90" s="49" t="inlineStr">
        <is>
          <t>M</t>
        </is>
      </c>
      <c r="G90" s="49" t="inlineStr">
        <is>
          <t xml:space="preserve">A  </t>
        </is>
      </c>
      <c r="H90" s="49" t="inlineStr">
        <is>
          <t>+</t>
        </is>
      </c>
      <c r="I90" s="49" t="inlineStr">
        <is>
          <t>SOLTERO</t>
        </is>
      </c>
      <c r="J90" s="49" t="inlineStr">
        <is>
          <t xml:space="preserve">SUPIA                         </t>
        </is>
      </c>
      <c r="K90" s="49" t="n">
        <v>0</v>
      </c>
      <c r="L90" s="49" t="inlineStr">
        <is>
          <t>14/03/1967</t>
        </is>
      </c>
      <c r="M90" s="49" t="inlineStr">
        <is>
          <t xml:space="preserve">SUPIA                         </t>
        </is>
      </c>
      <c r="N90" s="49" t="inlineStr">
        <is>
          <t xml:space="preserve">0                   </t>
        </is>
      </c>
      <c r="O90" s="49" t="inlineStr">
        <is>
          <t>3246621628</t>
        </is>
      </c>
      <c r="P90" s="49" t="inlineStr">
        <is>
          <t>VEREDA LA BODEGA</t>
        </is>
      </c>
      <c r="Q90" s="49" t="inlineStr">
        <is>
          <t>ga1403rincon@gmail.com</t>
        </is>
      </c>
      <c r="R90" s="49" t="inlineStr">
        <is>
          <t>AUXILIAR DE PROTECCION</t>
        </is>
      </c>
      <c r="S90" s="108" t="n">
        <v>91.66666600000001</v>
      </c>
      <c r="T90" s="108" t="n">
        <v>0</v>
      </c>
      <c r="U90" s="108" t="n">
        <v>220</v>
      </c>
      <c r="V90" s="49" t="inlineStr">
        <is>
          <t>CONSIG. CTA AHORROS</t>
        </is>
      </c>
      <c r="W90" s="49" t="inlineStr">
        <is>
          <t xml:space="preserve">BANCOLOMBIA S.A.              </t>
        </is>
      </c>
      <c r="X90" s="49" t="inlineStr">
        <is>
          <t xml:space="preserve">36865848492              </t>
        </is>
      </c>
      <c r="Y90" s="49" t="inlineStr">
        <is>
          <t xml:space="preserve">NO APLICA                     </t>
        </is>
      </c>
      <c r="Z90" s="49" t="inlineStr">
        <is>
          <t>CM0400-PRO</t>
        </is>
      </c>
      <c r="AA90" s="49" t="inlineStr">
        <is>
          <t>CM0400-PRO</t>
        </is>
      </c>
      <c r="AB90" s="49" t="inlineStr">
        <is>
          <t xml:space="preserve">01 </t>
        </is>
      </c>
      <c r="AC90" s="49" t="inlineStr">
        <is>
          <t xml:space="preserve">                </t>
        </is>
      </c>
      <c r="AD90" s="49" t="inlineStr">
        <is>
          <t>LEY 50</t>
        </is>
      </c>
      <c r="AE90" s="49" t="inlineStr">
        <is>
          <t>No</t>
        </is>
      </c>
      <c r="AF90" s="49" t="inlineStr">
        <is>
          <t>Normal</t>
        </is>
      </c>
      <c r="AG90" s="49" t="n"/>
      <c r="AH90" s="49" t="inlineStr">
        <is>
          <t>Si</t>
        </is>
      </c>
      <c r="AI90" s="49" t="inlineStr">
        <is>
          <t xml:space="preserve">Normal              </t>
        </is>
      </c>
      <c r="AJ90" s="49" t="inlineStr">
        <is>
          <t xml:space="preserve">Quincenal                     </t>
        </is>
      </c>
      <c r="AK90" s="49" t="inlineStr">
        <is>
          <t>NO</t>
        </is>
      </c>
      <c r="AL90" s="49" t="inlineStr">
        <is>
          <t>NO</t>
        </is>
      </c>
      <c r="AM90" s="49" t="inlineStr">
        <is>
          <t>06/05/2025</t>
        </is>
      </c>
      <c r="AN90" s="49" t="n"/>
      <c r="AO90" s="49" t="n"/>
      <c r="AP90" s="49" t="inlineStr">
        <is>
          <t xml:space="preserve">NO APLICA                </t>
        </is>
      </c>
      <c r="AQ90" s="49" t="n">
        <v>175</v>
      </c>
      <c r="AR90" s="49" t="inlineStr">
        <is>
          <t>01</t>
        </is>
      </c>
      <c r="AS90" s="49" t="n">
        <v>1</v>
      </c>
      <c r="AT90" s="49" t="inlineStr">
        <is>
          <t>No</t>
        </is>
      </c>
      <c r="AU90" s="49" t="n">
        <v>0</v>
      </c>
      <c r="AV90" s="108" t="n">
        <v>0</v>
      </c>
      <c r="AW90" s="108" t="n">
        <v>0</v>
      </c>
      <c r="AX90" s="108" t="n">
        <v>0</v>
      </c>
      <c r="AY90" s="49" t="inlineStr">
        <is>
          <t>No</t>
        </is>
      </c>
      <c r="AZ90" s="49" t="n">
        <v>0</v>
      </c>
      <c r="BA90" s="49" t="inlineStr">
        <is>
          <t>NUEVA E.P.S</t>
        </is>
      </c>
      <c r="BB90" s="49" t="inlineStr">
        <is>
          <t>COLPENSIONES - I.S.S. PENSION</t>
        </is>
      </c>
      <c r="BC90" s="49" t="inlineStr">
        <is>
          <t>CCF DE CALDAS</t>
        </is>
      </c>
      <c r="BD90" s="49" t="inlineStr">
        <is>
          <t>RIESGOS PROFESIONALES COLMENA S.A.</t>
        </is>
      </c>
      <c r="BE90" s="49" t="inlineStr">
        <is>
          <t>PROTECCION CESANTIAS</t>
        </is>
      </c>
      <c r="BF90" s="49" t="n">
        <v>6.96</v>
      </c>
      <c r="BG90" s="49" t="n">
        <v>220</v>
      </c>
      <c r="BH90" s="49" t="n">
        <v>15</v>
      </c>
      <c r="BI90" s="49" t="inlineStr">
        <is>
          <t xml:space="preserve">0           </t>
        </is>
      </c>
      <c r="BJ90" s="49" t="inlineStr">
        <is>
          <t xml:space="preserve">NO APLICA                               </t>
        </is>
      </c>
      <c r="BK90" s="49" t="inlineStr">
        <is>
          <t>02</t>
        </is>
      </c>
      <c r="BL90" s="49" t="inlineStr">
        <is>
          <t xml:space="preserve">Caldas                                  </t>
        </is>
      </c>
      <c r="BM90" s="49" t="inlineStr">
        <is>
          <t>02</t>
        </is>
      </c>
      <c r="BN90" s="49" t="inlineStr">
        <is>
          <t xml:space="preserve">Supia                                   </t>
        </is>
      </c>
      <c r="BO90" s="49" t="inlineStr">
        <is>
          <t>0</t>
        </is>
      </c>
      <c r="BP90" s="49" t="inlineStr">
        <is>
          <t>NO APLICA</t>
        </is>
      </c>
      <c r="BQ90" s="49" t="inlineStr">
        <is>
          <t>0</t>
        </is>
      </c>
      <c r="BR90" s="49" t="inlineStr">
        <is>
          <t>NO APLICA</t>
        </is>
      </c>
      <c r="BS90" s="49" t="inlineStr">
        <is>
          <t>0</t>
        </is>
      </c>
      <c r="BT90" s="49" t="inlineStr">
        <is>
          <t>NO APLICA</t>
        </is>
      </c>
      <c r="BU90" s="49" t="inlineStr">
        <is>
          <t>0</t>
        </is>
      </c>
      <c r="BV90" s="49" t="inlineStr">
        <is>
          <t>NO APLICA</t>
        </is>
      </c>
      <c r="BW90" s="49" t="inlineStr">
        <is>
          <t>No</t>
        </is>
      </c>
      <c r="BX90" s="49" t="inlineStr">
        <is>
          <t xml:space="preserve">No Aplica                     </t>
        </is>
      </c>
    </row>
    <row r="91" ht="22.5" customHeight="1">
      <c r="A91" s="49" t="n">
        <v>15930685</v>
      </c>
      <c r="B91" s="49" t="inlineStr">
        <is>
          <t xml:space="preserve"> 147</t>
        </is>
      </c>
      <c r="C91" s="49" t="n">
        <v>15930685</v>
      </c>
      <c r="D91" s="49" t="inlineStr">
        <is>
          <t>CC</t>
        </is>
      </c>
      <c r="E91" s="49" t="inlineStr">
        <is>
          <t>GUTIERREZ VILLEGAS FERNANDO ANDRES</t>
        </is>
      </c>
      <c r="F91" s="49" t="inlineStr">
        <is>
          <t>M</t>
        </is>
      </c>
      <c r="G91" s="49" t="inlineStr">
        <is>
          <t xml:space="preserve">A  </t>
        </is>
      </c>
      <c r="H91" s="49" t="inlineStr">
        <is>
          <t>+</t>
        </is>
      </c>
      <c r="I91" s="49" t="inlineStr">
        <is>
          <t>UNION LIBRE</t>
        </is>
      </c>
      <c r="J91" s="49" t="inlineStr">
        <is>
          <t xml:space="preserve">SUPIA                         </t>
        </is>
      </c>
      <c r="K91" s="49" t="n">
        <v>0</v>
      </c>
      <c r="L91" s="49" t="inlineStr">
        <is>
          <t>01/12/1976</t>
        </is>
      </c>
      <c r="M91" s="49" t="inlineStr">
        <is>
          <t xml:space="preserve">SUPIA                         </t>
        </is>
      </c>
      <c r="N91" s="49" t="inlineStr">
        <is>
          <t xml:space="preserve">0000                </t>
        </is>
      </c>
      <c r="O91" s="49" t="inlineStr">
        <is>
          <t>3233312196</t>
        </is>
      </c>
      <c r="P91" s="49" t="inlineStr">
        <is>
          <t>CL 38 10 34</t>
        </is>
      </c>
      <c r="Q91" s="49" t="inlineStr">
        <is>
          <t>fernandoandresgutierrez8@gmail.com</t>
        </is>
      </c>
      <c r="R91" s="49" t="inlineStr">
        <is>
          <t>AUXILIAR DE EXPLORACIÓN</t>
        </is>
      </c>
      <c r="S91" s="108" t="n">
        <v>91.66666600000001</v>
      </c>
      <c r="T91" s="108" t="n">
        <v>0</v>
      </c>
      <c r="U91" s="108" t="n">
        <v>220</v>
      </c>
      <c r="V91" s="49" t="inlineStr">
        <is>
          <t>CONSIG. CTA AHORROS</t>
        </is>
      </c>
      <c r="W91" s="49" t="inlineStr">
        <is>
          <t xml:space="preserve">BANCO DAVIVIENDA S.A.         </t>
        </is>
      </c>
      <c r="X91" s="49" t="inlineStr">
        <is>
          <t xml:space="preserve">0550084700052057         </t>
        </is>
      </c>
      <c r="Y91" s="49" t="inlineStr">
        <is>
          <t xml:space="preserve">NO APLICA                     </t>
        </is>
      </c>
      <c r="Z91" s="49" t="inlineStr">
        <is>
          <t>CM0100-EXP</t>
        </is>
      </c>
      <c r="AA91" s="49" t="inlineStr">
        <is>
          <t>CM0100-EXP</t>
        </is>
      </c>
      <c r="AB91" s="49" t="inlineStr">
        <is>
          <t xml:space="preserve">01 </t>
        </is>
      </c>
      <c r="AC91" s="49" t="inlineStr">
        <is>
          <t xml:space="preserve">                </t>
        </is>
      </c>
      <c r="AD91" s="49" t="inlineStr">
        <is>
          <t>LEY 50</t>
        </is>
      </c>
      <c r="AE91" s="49" t="inlineStr">
        <is>
          <t>No</t>
        </is>
      </c>
      <c r="AF91" s="49" t="inlineStr">
        <is>
          <t>Normal</t>
        </is>
      </c>
      <c r="AG91" s="49" t="n"/>
      <c r="AH91" s="49" t="inlineStr">
        <is>
          <t>Si</t>
        </is>
      </c>
      <c r="AI91" s="49" t="inlineStr">
        <is>
          <t xml:space="preserve">Normal              </t>
        </is>
      </c>
      <c r="AJ91" s="49" t="inlineStr">
        <is>
          <t xml:space="preserve">Quincenal                     </t>
        </is>
      </c>
      <c r="AK91" s="49" t="inlineStr">
        <is>
          <t>NO</t>
        </is>
      </c>
      <c r="AL91" s="49" t="inlineStr">
        <is>
          <t>NO</t>
        </is>
      </c>
      <c r="AM91" s="49" t="inlineStr">
        <is>
          <t>04/11/2025</t>
        </is>
      </c>
      <c r="AN91" s="49" t="n"/>
      <c r="AO91" s="49" t="n"/>
      <c r="AP91" s="49" t="inlineStr">
        <is>
          <t xml:space="preserve">NO APLICA                </t>
        </is>
      </c>
      <c r="AQ91" s="49" t="n">
        <v>206</v>
      </c>
      <c r="AR91" s="49" t="inlineStr">
        <is>
          <t>01</t>
        </is>
      </c>
      <c r="AS91" s="49" t="n">
        <v>1</v>
      </c>
      <c r="AT91" s="49" t="inlineStr">
        <is>
          <t>No</t>
        </is>
      </c>
      <c r="AU91" s="49" t="n">
        <v>0</v>
      </c>
      <c r="AV91" s="108" t="n">
        <v>0</v>
      </c>
      <c r="AW91" s="108" t="n">
        <v>0</v>
      </c>
      <c r="AX91" s="108" t="n">
        <v>0</v>
      </c>
      <c r="AY91" s="49" t="inlineStr">
        <is>
          <t>No</t>
        </is>
      </c>
      <c r="AZ91" s="49" t="n">
        <v>0</v>
      </c>
      <c r="BA91" s="49" t="inlineStr">
        <is>
          <t>NUEVA E.P.S</t>
        </is>
      </c>
      <c r="BB91" s="49" t="inlineStr">
        <is>
          <t>PORVENIR A.F.P.</t>
        </is>
      </c>
      <c r="BC91" s="49" t="inlineStr">
        <is>
          <t>CCF DE CALDAS</t>
        </is>
      </c>
      <c r="BD91" s="49" t="inlineStr">
        <is>
          <t>RIESGOS PROFESIONALES COLMENA S.A.</t>
        </is>
      </c>
      <c r="BE91" s="49" t="inlineStr">
        <is>
          <t>PORVENIR CESANTIAS</t>
        </is>
      </c>
      <c r="BF91" s="49" t="n">
        <v>6.96</v>
      </c>
      <c r="BG91" s="49" t="n">
        <v>220</v>
      </c>
      <c r="BH91" s="49" t="n">
        <v>15</v>
      </c>
      <c r="BI91" s="49" t="inlineStr">
        <is>
          <t xml:space="preserve">0           </t>
        </is>
      </c>
      <c r="BJ91" s="49" t="inlineStr">
        <is>
          <t xml:space="preserve">NO APLICA                               </t>
        </is>
      </c>
      <c r="BK91" s="49" t="inlineStr">
        <is>
          <t>02</t>
        </is>
      </c>
      <c r="BL91" s="49" t="inlineStr">
        <is>
          <t xml:space="preserve">Caldas                                  </t>
        </is>
      </c>
      <c r="BM91" s="49" t="inlineStr">
        <is>
          <t>02</t>
        </is>
      </c>
      <c r="BN91" s="49" t="inlineStr">
        <is>
          <t xml:space="preserve">Supia                                   </t>
        </is>
      </c>
      <c r="BO91" s="49" t="inlineStr">
        <is>
          <t>0</t>
        </is>
      </c>
      <c r="BP91" s="49" t="inlineStr">
        <is>
          <t>NO APLICA</t>
        </is>
      </c>
      <c r="BQ91" s="49" t="inlineStr">
        <is>
          <t>0</t>
        </is>
      </c>
      <c r="BR91" s="49" t="inlineStr">
        <is>
          <t>NO APLICA</t>
        </is>
      </c>
      <c r="BS91" s="49" t="inlineStr">
        <is>
          <t>0</t>
        </is>
      </c>
      <c r="BT91" s="49" t="inlineStr">
        <is>
          <t>NO APLICA</t>
        </is>
      </c>
      <c r="BU91" s="49" t="inlineStr">
        <is>
          <t>0</t>
        </is>
      </c>
      <c r="BV91" s="49" t="inlineStr">
        <is>
          <t>NO APLICA</t>
        </is>
      </c>
      <c r="BW91" s="49" t="inlineStr">
        <is>
          <t>No</t>
        </is>
      </c>
      <c r="BX91" s="49" t="inlineStr">
        <is>
          <t xml:space="preserve">No Aplica                     </t>
        </is>
      </c>
    </row>
    <row r="92" ht="22.5" customHeight="1">
      <c r="A92" s="49" t="n">
        <v>15931551</v>
      </c>
      <c r="B92" s="49" t="inlineStr">
        <is>
          <t>020</t>
        </is>
      </c>
      <c r="C92" s="49" t="n">
        <v>15931551</v>
      </c>
      <c r="D92" s="49" t="inlineStr">
        <is>
          <t>CC</t>
        </is>
      </c>
      <c r="E92" s="49" t="inlineStr">
        <is>
          <t>RAMIREZ RAMIREZ DIDIER DE JESUS</t>
        </is>
      </c>
      <c r="F92" s="49" t="inlineStr">
        <is>
          <t>M</t>
        </is>
      </c>
      <c r="G92" s="49" t="inlineStr">
        <is>
          <t xml:space="preserve">O  </t>
        </is>
      </c>
      <c r="H92" s="49" t="inlineStr">
        <is>
          <t>+</t>
        </is>
      </c>
      <c r="I92" s="49" t="inlineStr">
        <is>
          <t>SOLTERO</t>
        </is>
      </c>
      <c r="J92" s="49" t="inlineStr">
        <is>
          <t xml:space="preserve">MARMATO                       </t>
        </is>
      </c>
      <c r="K92" s="49" t="n">
        <v>0</v>
      </c>
      <c r="L92" s="49" t="inlineStr">
        <is>
          <t>26/02/1976</t>
        </is>
      </c>
      <c r="M92" s="49" t="inlineStr">
        <is>
          <t xml:space="preserve">MARMATO                       </t>
        </is>
      </c>
      <c r="N92" s="49" t="inlineStr">
        <is>
          <t xml:space="preserve">3148492561          </t>
        </is>
      </c>
      <c r="O92" s="49" t="inlineStr">
        <is>
          <t>3148492561</t>
        </is>
      </c>
      <c r="P92" s="49" t="inlineStr">
        <is>
          <t>VEREDA LAS PARTIDAS DEL VERGEL</t>
        </is>
      </c>
      <c r="Q92" s="49" t="inlineStr">
        <is>
          <t>bpocontratacion1@gsh.com.co</t>
        </is>
      </c>
      <c r="R92" s="49" t="inlineStr">
        <is>
          <t>AUXILIAR LIDER DE EXPLORACION</t>
        </is>
      </c>
      <c r="S92" s="108" t="n">
        <v>91.66666600000001</v>
      </c>
      <c r="T92" s="108" t="n">
        <v>0</v>
      </c>
      <c r="U92" s="108" t="n">
        <v>220</v>
      </c>
      <c r="V92" s="49" t="inlineStr">
        <is>
          <t>CONSIG. CTA AHORROS</t>
        </is>
      </c>
      <c r="W92" s="49" t="inlineStr">
        <is>
          <t xml:space="preserve">BANCO DAVIVIENDA S.A.         </t>
        </is>
      </c>
      <c r="X92" s="49" t="inlineStr">
        <is>
          <t xml:space="preserve">488425622989             </t>
        </is>
      </c>
      <c r="Y92" s="49" t="inlineStr">
        <is>
          <t xml:space="preserve">NO APLICA                     </t>
        </is>
      </c>
      <c r="Z92" s="49" t="inlineStr">
        <is>
          <t>CM0100-EXP</t>
        </is>
      </c>
      <c r="AA92" s="49" t="inlineStr">
        <is>
          <t>CM0100-EXP</t>
        </is>
      </c>
      <c r="AB92" s="49" t="inlineStr">
        <is>
          <t xml:space="preserve">01 </t>
        </is>
      </c>
      <c r="AC92" s="49" t="inlineStr">
        <is>
          <t xml:space="preserve">0               </t>
        </is>
      </c>
      <c r="AD92" s="49" t="inlineStr">
        <is>
          <t>LEY 50</t>
        </is>
      </c>
      <c r="AE92" s="49" t="inlineStr">
        <is>
          <t>Si</t>
        </is>
      </c>
      <c r="AF92" s="49" t="inlineStr">
        <is>
          <t>Normal</t>
        </is>
      </c>
      <c r="AG92" s="49" t="n"/>
      <c r="AH92" s="49" t="inlineStr">
        <is>
          <t>Si</t>
        </is>
      </c>
      <c r="AI92" s="49" t="inlineStr">
        <is>
          <t xml:space="preserve">Normal              </t>
        </is>
      </c>
      <c r="AJ92" s="49" t="inlineStr">
        <is>
          <t xml:space="preserve">Quincenal                     </t>
        </is>
      </c>
      <c r="AK92" s="49" t="inlineStr">
        <is>
          <t>NO</t>
        </is>
      </c>
      <c r="AL92" s="49" t="inlineStr">
        <is>
          <t>NO</t>
        </is>
      </c>
      <c r="AM92" s="49" t="inlineStr">
        <is>
          <t>10/12/2021</t>
        </is>
      </c>
      <c r="AN92" s="49" t="n"/>
      <c r="AO92" s="49" t="n"/>
      <c r="AP92" s="49" t="inlineStr">
        <is>
          <t xml:space="preserve">NO APLICA                </t>
        </is>
      </c>
      <c r="AQ92" s="49" t="n">
        <v>61</v>
      </c>
      <c r="AR92" s="49" t="inlineStr">
        <is>
          <t>01</t>
        </is>
      </c>
      <c r="AS92" s="49" t="n">
        <v>1</v>
      </c>
      <c r="AT92" s="49" t="inlineStr">
        <is>
          <t>Si</t>
        </is>
      </c>
      <c r="AU92" s="49" t="n">
        <v>0</v>
      </c>
      <c r="AV92" s="108" t="n">
        <v>0</v>
      </c>
      <c r="AW92" s="108" t="n">
        <v>0</v>
      </c>
      <c r="AX92" s="108" t="n">
        <v>0</v>
      </c>
      <c r="AY92" s="49" t="inlineStr">
        <is>
          <t>No</t>
        </is>
      </c>
      <c r="AZ92" s="49" t="n">
        <v>78178</v>
      </c>
      <c r="BA92" s="49" t="inlineStr">
        <is>
          <t>SALUD TOTAL E.P.S.</t>
        </is>
      </c>
      <c r="BB92" s="49" t="inlineStr">
        <is>
          <t>COLFONDOS  A.F.P.</t>
        </is>
      </c>
      <c r="BC92" s="49" t="inlineStr">
        <is>
          <t>CCF DE CALDAS</t>
        </is>
      </c>
      <c r="BD92" s="49" t="inlineStr">
        <is>
          <t>RIESGOS PROFESIONALES COLMENA S.A.</t>
        </is>
      </c>
      <c r="BE92" s="49" t="inlineStr">
        <is>
          <t>PORVENIR CESANTIAS</t>
        </is>
      </c>
      <c r="BF92" s="49" t="n">
        <v>6.96</v>
      </c>
      <c r="BG92" s="49" t="n">
        <v>220</v>
      </c>
      <c r="BH92" s="49" t="n">
        <v>15</v>
      </c>
      <c r="BI92" s="49" t="inlineStr">
        <is>
          <t xml:space="preserve">0           </t>
        </is>
      </c>
      <c r="BJ92" s="49" t="inlineStr">
        <is>
          <t xml:space="preserve">NO APLICA                               </t>
        </is>
      </c>
      <c r="BK92" s="49" t="inlineStr">
        <is>
          <t>02</t>
        </is>
      </c>
      <c r="BL92" s="49" t="inlineStr">
        <is>
          <t xml:space="preserve">Caldas                                  </t>
        </is>
      </c>
      <c r="BM92" s="49" t="inlineStr">
        <is>
          <t>03</t>
        </is>
      </c>
      <c r="BN92" s="49" t="inlineStr">
        <is>
          <t xml:space="preserve">Marmato                                 </t>
        </is>
      </c>
      <c r="BO92" s="49" t="inlineStr">
        <is>
          <t>0</t>
        </is>
      </c>
      <c r="BP92" s="49" t="inlineStr">
        <is>
          <t>NO APLICA</t>
        </is>
      </c>
      <c r="BQ92" s="49" t="inlineStr">
        <is>
          <t>0</t>
        </is>
      </c>
      <c r="BR92" s="49" t="inlineStr">
        <is>
          <t>NO APLICA</t>
        </is>
      </c>
      <c r="BS92" s="49" t="inlineStr">
        <is>
          <t>0</t>
        </is>
      </c>
      <c r="BT92" s="49" t="inlineStr">
        <is>
          <t>NO APLICA</t>
        </is>
      </c>
      <c r="BU92" s="49" t="inlineStr">
        <is>
          <t>0</t>
        </is>
      </c>
      <c r="BV92" s="49" t="inlineStr">
        <is>
          <t>NO APLICA</t>
        </is>
      </c>
      <c r="BW92" s="49" t="inlineStr">
        <is>
          <t>No</t>
        </is>
      </c>
      <c r="BX92" s="49" t="inlineStr">
        <is>
          <t xml:space="preserve">No Aplica                     </t>
        </is>
      </c>
    </row>
    <row r="93" ht="22.5" customHeight="1">
      <c r="A93" s="49" t="n">
        <v>15932818</v>
      </c>
      <c r="B93" s="49" t="inlineStr">
        <is>
          <t>171</t>
        </is>
      </c>
      <c r="C93" s="49" t="n">
        <v>15932818</v>
      </c>
      <c r="D93" s="49" t="inlineStr">
        <is>
          <t>CC</t>
        </is>
      </c>
      <c r="E93" s="49" t="inlineStr">
        <is>
          <t>GUEVARA  JOSE DAVID</t>
        </is>
      </c>
      <c r="F93" s="49" t="inlineStr">
        <is>
          <t>M</t>
        </is>
      </c>
      <c r="G93" s="49" t="inlineStr">
        <is>
          <t xml:space="preserve">A  </t>
        </is>
      </c>
      <c r="H93" s="49" t="inlineStr">
        <is>
          <t>+</t>
        </is>
      </c>
      <c r="I93" s="49" t="inlineStr">
        <is>
          <t>SOLTERO</t>
        </is>
      </c>
      <c r="J93" s="49" t="inlineStr">
        <is>
          <t xml:space="preserve">SUPIA                         </t>
        </is>
      </c>
      <c r="K93" s="49" t="n">
        <v>0</v>
      </c>
      <c r="L93" s="49" t="inlineStr">
        <is>
          <t>09/08/1982</t>
        </is>
      </c>
      <c r="M93" s="49" t="inlineStr">
        <is>
          <t xml:space="preserve">SUPIA                         </t>
        </is>
      </c>
      <c r="N93" s="49" t="inlineStr">
        <is>
          <t xml:space="preserve">0000                </t>
        </is>
      </c>
      <c r="O93" s="49" t="inlineStr">
        <is>
          <t>3126803094</t>
        </is>
      </c>
      <c r="P93" s="49" t="inlineStr">
        <is>
          <t>VDA la vuelta de la U</t>
        </is>
      </c>
      <c r="Q93" s="49" t="inlineStr">
        <is>
          <t>Davidguevara43@gmail.com</t>
        </is>
      </c>
      <c r="R93" s="49" t="inlineStr">
        <is>
          <t>AUXILIAR DE EXPLORACIÓN</t>
        </is>
      </c>
      <c r="S93" s="108" t="n">
        <v>91.66666600000001</v>
      </c>
      <c r="T93" s="108" t="n">
        <v>0</v>
      </c>
      <c r="U93" s="108" t="n">
        <v>220</v>
      </c>
      <c r="V93" s="49" t="inlineStr">
        <is>
          <t>CONSIG. CTA AHORROS</t>
        </is>
      </c>
      <c r="W93" s="49" t="inlineStr">
        <is>
          <t xml:space="preserve">BANCO DAVIVIENDA S.A.         </t>
        </is>
      </c>
      <c r="X93" s="49" t="inlineStr">
        <is>
          <t xml:space="preserve">488441081657             </t>
        </is>
      </c>
      <c r="Y93" s="49" t="inlineStr">
        <is>
          <t xml:space="preserve">NO APLICA                     </t>
        </is>
      </c>
      <c r="Z93" s="49" t="inlineStr">
        <is>
          <t>CM0100-EXP</t>
        </is>
      </c>
      <c r="AA93" s="49" t="inlineStr">
        <is>
          <t>CM0100-EXP</t>
        </is>
      </c>
      <c r="AB93" s="49" t="inlineStr">
        <is>
          <t xml:space="preserve">01 </t>
        </is>
      </c>
      <c r="AC93" s="49" t="inlineStr">
        <is>
          <t xml:space="preserve">                </t>
        </is>
      </c>
      <c r="AD93" s="49" t="inlineStr">
        <is>
          <t>LEY 50</t>
        </is>
      </c>
      <c r="AE93" s="49" t="inlineStr">
        <is>
          <t>No</t>
        </is>
      </c>
      <c r="AF93" s="49" t="inlineStr">
        <is>
          <t>Normal</t>
        </is>
      </c>
      <c r="AG93" s="49" t="n"/>
      <c r="AH93" s="49" t="inlineStr">
        <is>
          <t>Si</t>
        </is>
      </c>
      <c r="AI93" s="49" t="inlineStr">
        <is>
          <t xml:space="preserve">Normal              </t>
        </is>
      </c>
      <c r="AJ93" s="49" t="inlineStr">
        <is>
          <t xml:space="preserve">Quincenal                     </t>
        </is>
      </c>
      <c r="AK93" s="49" t="inlineStr">
        <is>
          <t>NO</t>
        </is>
      </c>
      <c r="AL93" s="49" t="inlineStr">
        <is>
          <t>NO</t>
        </is>
      </c>
      <c r="AM93" s="49" t="inlineStr">
        <is>
          <t>03/03/2026</t>
        </is>
      </c>
      <c r="AN93" s="49" t="n"/>
      <c r="AO93" s="49" t="n"/>
      <c r="AP93" s="49" t="inlineStr">
        <is>
          <t xml:space="preserve">NO APLICA                </t>
        </is>
      </c>
      <c r="AQ93" s="49" t="n">
        <v>232</v>
      </c>
      <c r="AR93" s="49" t="inlineStr">
        <is>
          <t>01</t>
        </is>
      </c>
      <c r="AS93" s="49" t="n">
        <v>1</v>
      </c>
      <c r="AT93" s="49" t="inlineStr">
        <is>
          <t>No</t>
        </is>
      </c>
      <c r="AU93" s="49" t="n">
        <v>0</v>
      </c>
      <c r="AV93" s="108" t="n">
        <v>0</v>
      </c>
      <c r="AW93" s="108" t="n">
        <v>0</v>
      </c>
      <c r="AX93" s="108" t="n">
        <v>0</v>
      </c>
      <c r="AY93" s="49" t="inlineStr">
        <is>
          <t>No</t>
        </is>
      </c>
      <c r="AZ93" s="49" t="n">
        <v>0</v>
      </c>
      <c r="BA93" s="49" t="inlineStr">
        <is>
          <t>Entidad Promotora de Salud Mallamas EPSI</t>
        </is>
      </c>
      <c r="BB93" s="49" t="inlineStr">
        <is>
          <t>PORVENIR A.F.P.</t>
        </is>
      </c>
      <c r="BC93" s="49" t="inlineStr">
        <is>
          <t>CCF DE CALDAS</t>
        </is>
      </c>
      <c r="BD93" s="49" t="inlineStr">
        <is>
          <t>RIESGOS PROFESIONALES COLMENA S.A.</t>
        </is>
      </c>
      <c r="BE93" s="49" t="inlineStr">
        <is>
          <t>PORVENIR CESANTIAS</t>
        </is>
      </c>
      <c r="BF93" s="49" t="n">
        <v>6.96</v>
      </c>
      <c r="BG93" s="49" t="n">
        <v>220</v>
      </c>
      <c r="BH93" s="49" t="n">
        <v>15</v>
      </c>
      <c r="BI93" s="49" t="inlineStr">
        <is>
          <t xml:space="preserve">0           </t>
        </is>
      </c>
      <c r="BJ93" s="49" t="inlineStr">
        <is>
          <t xml:space="preserve">NO APLICA                               </t>
        </is>
      </c>
      <c r="BK93" s="49" t="inlineStr">
        <is>
          <t>02</t>
        </is>
      </c>
      <c r="BL93" s="49" t="inlineStr">
        <is>
          <t xml:space="preserve">Caldas                                  </t>
        </is>
      </c>
      <c r="BM93" s="49" t="inlineStr">
        <is>
          <t>02</t>
        </is>
      </c>
      <c r="BN93" s="49" t="inlineStr">
        <is>
          <t xml:space="preserve">Supia                                   </t>
        </is>
      </c>
      <c r="BO93" s="49" t="inlineStr">
        <is>
          <t>0</t>
        </is>
      </c>
      <c r="BP93" s="49" t="inlineStr">
        <is>
          <t>NO APLICA</t>
        </is>
      </c>
      <c r="BQ93" s="49" t="inlineStr">
        <is>
          <t>0</t>
        </is>
      </c>
      <c r="BR93" s="49" t="inlineStr">
        <is>
          <t>NO APLICA</t>
        </is>
      </c>
      <c r="BS93" s="49" t="inlineStr">
        <is>
          <t>0</t>
        </is>
      </c>
      <c r="BT93" s="49" t="inlineStr">
        <is>
          <t>NO APLICA</t>
        </is>
      </c>
      <c r="BU93" s="49" t="inlineStr">
        <is>
          <t>0</t>
        </is>
      </c>
      <c r="BV93" s="49" t="inlineStr">
        <is>
          <t>NO APLICA</t>
        </is>
      </c>
      <c r="BW93" s="49" t="inlineStr">
        <is>
          <t>No</t>
        </is>
      </c>
      <c r="BX93" s="49" t="inlineStr">
        <is>
          <t xml:space="preserve">No Aplica                     </t>
        </is>
      </c>
    </row>
    <row r="94" ht="22.5" customHeight="1">
      <c r="A94" s="49" t="n">
        <v>16053295</v>
      </c>
      <c r="B94" s="49" t="inlineStr">
        <is>
          <t xml:space="preserve"> 153</t>
        </is>
      </c>
      <c r="C94" s="49" t="n">
        <v>16053295</v>
      </c>
      <c r="D94" s="49" t="inlineStr">
        <is>
          <t>CC</t>
        </is>
      </c>
      <c r="E94" s="49" t="inlineStr">
        <is>
          <t>MONTES RINCON JOSE ROGELIO</t>
        </is>
      </c>
      <c r="F94" s="49" t="inlineStr">
        <is>
          <t>M</t>
        </is>
      </c>
      <c r="G94" s="49" t="inlineStr">
        <is>
          <t xml:space="preserve">A  </t>
        </is>
      </c>
      <c r="H94" s="49" t="inlineStr">
        <is>
          <t>+</t>
        </is>
      </c>
      <c r="I94" s="49" t="inlineStr">
        <is>
          <t>CASADO</t>
        </is>
      </c>
      <c r="J94" s="49" t="inlineStr">
        <is>
          <t xml:space="preserve">PACORA                        </t>
        </is>
      </c>
      <c r="K94" s="49" t="n">
        <v>0</v>
      </c>
      <c r="L94" s="49" t="inlineStr">
        <is>
          <t>01/10/1970</t>
        </is>
      </c>
      <c r="M94" s="49" t="inlineStr">
        <is>
          <t xml:space="preserve">SUPIA                         </t>
        </is>
      </c>
      <c r="N94" s="49" t="inlineStr">
        <is>
          <t xml:space="preserve">0000                </t>
        </is>
      </c>
      <c r="O94" s="49" t="inlineStr">
        <is>
          <t>3147784484</t>
        </is>
      </c>
      <c r="P94" s="49" t="inlineStr">
        <is>
          <t>VDA Alto de Pozo, San Bartolomé</t>
        </is>
      </c>
      <c r="Q94" s="49" t="inlineStr">
        <is>
          <t>joser.montes70@gmail.com</t>
        </is>
      </c>
      <c r="R94" s="49" t="inlineStr">
        <is>
          <t>AUXILIAR DE EXPLORACIÓN</t>
        </is>
      </c>
      <c r="S94" s="108" t="n">
        <v>91.66666600000001</v>
      </c>
      <c r="T94" s="108" t="n">
        <v>0</v>
      </c>
      <c r="U94" s="108" t="n">
        <v>220</v>
      </c>
      <c r="V94" s="49" t="inlineStr">
        <is>
          <t>CONSIG. CTA AHORROS</t>
        </is>
      </c>
      <c r="W94" s="49" t="inlineStr">
        <is>
          <t xml:space="preserve">BANCO DAVIVIENDA S.A.         </t>
        </is>
      </c>
      <c r="X94" s="49" t="inlineStr">
        <is>
          <t xml:space="preserve">0550488443989303         </t>
        </is>
      </c>
      <c r="Y94" s="49" t="inlineStr">
        <is>
          <t xml:space="preserve">NO APLICA                     </t>
        </is>
      </c>
      <c r="Z94" s="49" t="inlineStr">
        <is>
          <t>CM0100-EXP</t>
        </is>
      </c>
      <c r="AA94" s="49" t="inlineStr">
        <is>
          <t>CM0100-EXP</t>
        </is>
      </c>
      <c r="AB94" s="49" t="inlineStr">
        <is>
          <t xml:space="preserve">01 </t>
        </is>
      </c>
      <c r="AC94" s="49" t="inlineStr">
        <is>
          <t xml:space="preserve">                </t>
        </is>
      </c>
      <c r="AD94" s="49" t="inlineStr">
        <is>
          <t>LEY 50</t>
        </is>
      </c>
      <c r="AE94" s="49" t="inlineStr">
        <is>
          <t>No</t>
        </is>
      </c>
      <c r="AF94" s="49" t="inlineStr">
        <is>
          <t>Normal</t>
        </is>
      </c>
      <c r="AG94" s="49" t="n"/>
      <c r="AH94" s="49" t="inlineStr">
        <is>
          <t>Si</t>
        </is>
      </c>
      <c r="AI94" s="49" t="inlineStr">
        <is>
          <t xml:space="preserve">Normal              </t>
        </is>
      </c>
      <c r="AJ94" s="49" t="inlineStr">
        <is>
          <t xml:space="preserve">Quincenal                     </t>
        </is>
      </c>
      <c r="AK94" s="49" t="inlineStr">
        <is>
          <t>NO</t>
        </is>
      </c>
      <c r="AL94" s="49" t="inlineStr">
        <is>
          <t>NO</t>
        </is>
      </c>
      <c r="AM94" s="49" t="inlineStr">
        <is>
          <t>01/12/2025</t>
        </is>
      </c>
      <c r="AN94" s="49" t="n"/>
      <c r="AO94" s="49" t="n"/>
      <c r="AP94" s="49" t="inlineStr">
        <is>
          <t xml:space="preserve">NO APLICA                </t>
        </is>
      </c>
      <c r="AQ94" s="49" t="n">
        <v>212</v>
      </c>
      <c r="AR94" s="49" t="inlineStr">
        <is>
          <t>01</t>
        </is>
      </c>
      <c r="AS94" s="49" t="n">
        <v>1</v>
      </c>
      <c r="AT94" s="49" t="inlineStr">
        <is>
          <t>No</t>
        </is>
      </c>
      <c r="AU94" s="49" t="n">
        <v>0</v>
      </c>
      <c r="AV94" s="108" t="n">
        <v>0</v>
      </c>
      <c r="AW94" s="108" t="n">
        <v>0</v>
      </c>
      <c r="AX94" s="108" t="n">
        <v>0</v>
      </c>
      <c r="AY94" s="49" t="inlineStr">
        <is>
          <t>No</t>
        </is>
      </c>
      <c r="AZ94" s="49" t="n">
        <v>0</v>
      </c>
      <c r="BA94" s="49" t="inlineStr">
        <is>
          <t>NUEVA E.P.S</t>
        </is>
      </c>
      <c r="BB94" s="49" t="inlineStr">
        <is>
          <t>PROTECCION A.F.P</t>
        </is>
      </c>
      <c r="BC94" s="49" t="inlineStr">
        <is>
          <t>CCF DE CALDAS</t>
        </is>
      </c>
      <c r="BD94" s="49" t="inlineStr">
        <is>
          <t>RIESGOS PROFESIONALES COLMENA S.A.</t>
        </is>
      </c>
      <c r="BE94" s="49" t="inlineStr">
        <is>
          <t>PROTECCION CESANTIAS</t>
        </is>
      </c>
      <c r="BF94" s="49" t="n">
        <v>6.96</v>
      </c>
      <c r="BG94" s="49" t="n">
        <v>220</v>
      </c>
      <c r="BH94" s="49" t="n">
        <v>15</v>
      </c>
      <c r="BI94" s="49" t="inlineStr">
        <is>
          <t xml:space="preserve">0           </t>
        </is>
      </c>
      <c r="BJ94" s="49" t="inlineStr">
        <is>
          <t xml:space="preserve">NO APLICA                               </t>
        </is>
      </c>
      <c r="BK94" s="49" t="inlineStr">
        <is>
          <t>02</t>
        </is>
      </c>
      <c r="BL94" s="49" t="inlineStr">
        <is>
          <t xml:space="preserve">Caldas                                  </t>
        </is>
      </c>
      <c r="BM94" s="49" t="inlineStr">
        <is>
          <t>02</t>
        </is>
      </c>
      <c r="BN94" s="49" t="inlineStr">
        <is>
          <t xml:space="preserve">Supia                                   </t>
        </is>
      </c>
      <c r="BO94" s="49" t="inlineStr">
        <is>
          <t>0</t>
        </is>
      </c>
      <c r="BP94" s="49" t="inlineStr">
        <is>
          <t>NO APLICA</t>
        </is>
      </c>
      <c r="BQ94" s="49" t="inlineStr">
        <is>
          <t>0</t>
        </is>
      </c>
      <c r="BR94" s="49" t="inlineStr">
        <is>
          <t>NO APLICA</t>
        </is>
      </c>
      <c r="BS94" s="49" t="inlineStr">
        <is>
          <t>0</t>
        </is>
      </c>
      <c r="BT94" s="49" t="inlineStr">
        <is>
          <t>NO APLICA</t>
        </is>
      </c>
      <c r="BU94" s="49" t="inlineStr">
        <is>
          <t>0</t>
        </is>
      </c>
      <c r="BV94" s="49" t="inlineStr">
        <is>
          <t>NO APLICA</t>
        </is>
      </c>
      <c r="BW94" s="49" t="inlineStr">
        <is>
          <t>No</t>
        </is>
      </c>
      <c r="BX94" s="49" t="inlineStr">
        <is>
          <t xml:space="preserve">No Aplica                     </t>
        </is>
      </c>
    </row>
    <row r="95" ht="22.5" customHeight="1">
      <c r="A95" s="49" t="n">
        <v>16053518</v>
      </c>
      <c r="B95" s="49" t="inlineStr">
        <is>
          <t xml:space="preserve"> 148</t>
        </is>
      </c>
      <c r="C95" s="49" t="n">
        <v>16053518</v>
      </c>
      <c r="D95" s="49" t="inlineStr">
        <is>
          <t>CC</t>
        </is>
      </c>
      <c r="E95" s="49" t="inlineStr">
        <is>
          <t>GALEANO HENAO FRANCISCO JAVIER</t>
        </is>
      </c>
      <c r="F95" s="49" t="inlineStr">
        <is>
          <t>M</t>
        </is>
      </c>
      <c r="G95" s="49" t="inlineStr">
        <is>
          <t xml:space="preserve">A  </t>
        </is>
      </c>
      <c r="H95" s="49" t="inlineStr">
        <is>
          <t>+</t>
        </is>
      </c>
      <c r="I95" s="49" t="inlineStr">
        <is>
          <t>UNION LIBRE</t>
        </is>
      </c>
      <c r="J95" s="49" t="inlineStr">
        <is>
          <t xml:space="preserve">PACORA                        </t>
        </is>
      </c>
      <c r="K95" s="49" t="n">
        <v>0</v>
      </c>
      <c r="L95" s="49" t="inlineStr">
        <is>
          <t>23/01/1971</t>
        </is>
      </c>
      <c r="M95" s="49" t="inlineStr">
        <is>
          <t xml:space="preserve">SUPIA                         </t>
        </is>
      </c>
      <c r="N95" s="49" t="inlineStr">
        <is>
          <t xml:space="preserve">0                   </t>
        </is>
      </c>
      <c r="O95" s="49" t="inlineStr">
        <is>
          <t>3127687680</t>
        </is>
      </c>
      <c r="P95" s="49" t="inlineStr">
        <is>
          <t>VDA CASTILLA</t>
        </is>
      </c>
      <c r="Q95" s="49" t="inlineStr">
        <is>
          <t>23.javiergaleano@gmail.com</t>
        </is>
      </c>
      <c r="R95" s="49" t="inlineStr">
        <is>
          <t>AUXILIAR DE EXPLORACIÓN</t>
        </is>
      </c>
      <c r="S95" s="108" t="n">
        <v>91.66666600000001</v>
      </c>
      <c r="T95" s="108" t="n">
        <v>0</v>
      </c>
      <c r="U95" s="108" t="n">
        <v>220</v>
      </c>
      <c r="V95" s="49" t="inlineStr">
        <is>
          <t>CONSIG. CTA AHORROS</t>
        </is>
      </c>
      <c r="W95" s="49" t="inlineStr">
        <is>
          <t xml:space="preserve">BANCO DAVIVIENDA S.A.         </t>
        </is>
      </c>
      <c r="X95" s="49" t="inlineStr">
        <is>
          <t xml:space="preserve">084300097833             </t>
        </is>
      </c>
      <c r="Y95" s="49" t="inlineStr">
        <is>
          <t xml:space="preserve">NO APLICA                     </t>
        </is>
      </c>
      <c r="Z95" s="49" t="inlineStr">
        <is>
          <t>CM0100-EXP</t>
        </is>
      </c>
      <c r="AA95" s="49" t="inlineStr">
        <is>
          <t>CM0100-EXP</t>
        </is>
      </c>
      <c r="AB95" s="49" t="inlineStr">
        <is>
          <t xml:space="preserve">01 </t>
        </is>
      </c>
      <c r="AC95" s="49" t="inlineStr">
        <is>
          <t xml:space="preserve">                </t>
        </is>
      </c>
      <c r="AD95" s="49" t="inlineStr">
        <is>
          <t>LEY 50</t>
        </is>
      </c>
      <c r="AE95" s="49" t="inlineStr">
        <is>
          <t>No</t>
        </is>
      </c>
      <c r="AF95" s="49" t="inlineStr">
        <is>
          <t>Normal</t>
        </is>
      </c>
      <c r="AG95" s="49" t="n"/>
      <c r="AH95" s="49" t="inlineStr">
        <is>
          <t>Si</t>
        </is>
      </c>
      <c r="AI95" s="49" t="inlineStr">
        <is>
          <t xml:space="preserve">Normal              </t>
        </is>
      </c>
      <c r="AJ95" s="49" t="inlineStr">
        <is>
          <t xml:space="preserve">Quincenal                     </t>
        </is>
      </c>
      <c r="AK95" s="49" t="inlineStr">
        <is>
          <t>NO</t>
        </is>
      </c>
      <c r="AL95" s="49" t="inlineStr">
        <is>
          <t>NO</t>
        </is>
      </c>
      <c r="AM95" s="49" t="inlineStr">
        <is>
          <t>01/11/2025</t>
        </is>
      </c>
      <c r="AN95" s="49" t="n"/>
      <c r="AO95" s="49" t="n"/>
      <c r="AP95" s="49" t="inlineStr">
        <is>
          <t xml:space="preserve">NO APLICA                </t>
        </is>
      </c>
      <c r="AQ95" s="49" t="n">
        <v>205</v>
      </c>
      <c r="AR95" s="49" t="inlineStr">
        <is>
          <t>01</t>
        </is>
      </c>
      <c r="AS95" s="49" t="n">
        <v>1</v>
      </c>
      <c r="AT95" s="49" t="inlineStr">
        <is>
          <t>No</t>
        </is>
      </c>
      <c r="AU95" s="49" t="n">
        <v>0</v>
      </c>
      <c r="AV95" s="108" t="n">
        <v>0</v>
      </c>
      <c r="AW95" s="108" t="n">
        <v>0</v>
      </c>
      <c r="AX95" s="108" t="n">
        <v>0</v>
      </c>
      <c r="AY95" s="49" t="inlineStr">
        <is>
          <t>No</t>
        </is>
      </c>
      <c r="AZ95" s="49" t="n">
        <v>0</v>
      </c>
      <c r="BA95" s="49" t="inlineStr">
        <is>
          <t>NUEVA E.P.S</t>
        </is>
      </c>
      <c r="BB95" s="49" t="inlineStr">
        <is>
          <t>PROTECCION A.F.P</t>
        </is>
      </c>
      <c r="BC95" s="49" t="inlineStr">
        <is>
          <t>CCF DE CALDAS</t>
        </is>
      </c>
      <c r="BD95" s="49" t="inlineStr">
        <is>
          <t>RIESGOS PROFESIONALES COLMENA S.A.</t>
        </is>
      </c>
      <c r="BE95" s="49" t="inlineStr">
        <is>
          <t>PORVENIR CESANTIAS</t>
        </is>
      </c>
      <c r="BF95" s="49" t="n">
        <v>6.96</v>
      </c>
      <c r="BG95" s="49" t="n">
        <v>220</v>
      </c>
      <c r="BH95" s="49" t="n">
        <v>15</v>
      </c>
      <c r="BI95" s="49" t="inlineStr">
        <is>
          <t xml:space="preserve">0           </t>
        </is>
      </c>
      <c r="BJ95" s="49" t="inlineStr">
        <is>
          <t xml:space="preserve">NO APLICA                               </t>
        </is>
      </c>
      <c r="BK95" s="49" t="inlineStr">
        <is>
          <t>02</t>
        </is>
      </c>
      <c r="BL95" s="49" t="inlineStr">
        <is>
          <t xml:space="preserve">Caldas                                  </t>
        </is>
      </c>
      <c r="BM95" s="49" t="inlineStr">
        <is>
          <t>02</t>
        </is>
      </c>
      <c r="BN95" s="49" t="inlineStr">
        <is>
          <t xml:space="preserve">Supia                                   </t>
        </is>
      </c>
      <c r="BO95" s="49" t="inlineStr">
        <is>
          <t>0</t>
        </is>
      </c>
      <c r="BP95" s="49" t="inlineStr">
        <is>
          <t>NO APLICA</t>
        </is>
      </c>
      <c r="BQ95" s="49" t="inlineStr">
        <is>
          <t>0</t>
        </is>
      </c>
      <c r="BR95" s="49" t="inlineStr">
        <is>
          <t>NO APLICA</t>
        </is>
      </c>
      <c r="BS95" s="49" t="inlineStr">
        <is>
          <t>0</t>
        </is>
      </c>
      <c r="BT95" s="49" t="inlineStr">
        <is>
          <t>NO APLICA</t>
        </is>
      </c>
      <c r="BU95" s="49" t="inlineStr">
        <is>
          <t>0</t>
        </is>
      </c>
      <c r="BV95" s="49" t="inlineStr">
        <is>
          <t>NO APLICA</t>
        </is>
      </c>
      <c r="BW95" s="49" t="inlineStr">
        <is>
          <t>No</t>
        </is>
      </c>
      <c r="BX95" s="49" t="inlineStr">
        <is>
          <t xml:space="preserve">No Aplica                     </t>
        </is>
      </c>
    </row>
    <row r="96" ht="15" customHeight="1">
      <c r="A96" s="49" t="n">
        <v>16070773</v>
      </c>
      <c r="B96" s="49" t="inlineStr">
        <is>
          <t>068</t>
        </is>
      </c>
      <c r="C96" s="49" t="n">
        <v>16070773</v>
      </c>
      <c r="D96" s="49" t="inlineStr">
        <is>
          <t>CC</t>
        </is>
      </c>
      <c r="E96" s="49" t="inlineStr">
        <is>
          <t>OROZCO SALGADO JULIAN</t>
        </is>
      </c>
      <c r="F96" s="49" t="inlineStr">
        <is>
          <t>M</t>
        </is>
      </c>
      <c r="G96" s="49" t="inlineStr">
        <is>
          <t xml:space="preserve">A  </t>
        </is>
      </c>
      <c r="H96" s="49" t="inlineStr">
        <is>
          <t>+</t>
        </is>
      </c>
      <c r="I96" s="49" t="inlineStr">
        <is>
          <t>SOLTERO</t>
        </is>
      </c>
      <c r="J96" s="49" t="inlineStr">
        <is>
          <t xml:space="preserve">MANIZALES                     </t>
        </is>
      </c>
      <c r="K96" s="49" t="n">
        <v>0</v>
      </c>
      <c r="L96" s="49" t="inlineStr">
        <is>
          <t>10/11/1981</t>
        </is>
      </c>
      <c r="M96" s="49" t="inlineStr">
        <is>
          <t xml:space="preserve">SUPIA                         </t>
        </is>
      </c>
      <c r="N96" s="49" t="inlineStr">
        <is>
          <t xml:space="preserve">0                   </t>
        </is>
      </c>
      <c r="O96" s="49" t="inlineStr">
        <is>
          <t>3117575474</t>
        </is>
      </c>
      <c r="P96" s="49" t="inlineStr">
        <is>
          <t>CR 20  25 SUR  81 CS 115</t>
        </is>
      </c>
      <c r="Q96" s="49" t="inlineStr">
        <is>
          <t>jjulianorozco@hotmail.com</t>
        </is>
      </c>
      <c r="R96" s="49" t="inlineStr">
        <is>
          <t xml:space="preserve">EXPLORATION MANAGER </t>
        </is>
      </c>
      <c r="S96" s="108" t="n">
        <v>91.66666600000001</v>
      </c>
      <c r="T96" s="108" t="n">
        <v>0</v>
      </c>
      <c r="U96" s="108" t="n">
        <v>220</v>
      </c>
      <c r="V96" s="49" t="inlineStr">
        <is>
          <t>CONSIG. CTA AHORROS</t>
        </is>
      </c>
      <c r="W96" s="49" t="inlineStr">
        <is>
          <t xml:space="preserve">BANCOLOMBIA S.A.              </t>
        </is>
      </c>
      <c r="X96" s="49" t="inlineStr">
        <is>
          <t xml:space="preserve">21840078318              </t>
        </is>
      </c>
      <c r="Y96" s="49" t="inlineStr">
        <is>
          <t xml:space="preserve">NO APLICA                     </t>
        </is>
      </c>
      <c r="Z96" s="49" t="inlineStr">
        <is>
          <t>CM0100-EXP</t>
        </is>
      </c>
      <c r="AA96" s="49" t="inlineStr">
        <is>
          <t>CM0100-EXP</t>
        </is>
      </c>
      <c r="AB96" s="49" t="inlineStr">
        <is>
          <t xml:space="preserve">01 </t>
        </is>
      </c>
      <c r="AC96" s="49" t="inlineStr">
        <is>
          <t xml:space="preserve">                </t>
        </is>
      </c>
      <c r="AD96" s="49" t="inlineStr">
        <is>
          <t>LEY 50</t>
        </is>
      </c>
      <c r="AE96" s="49" t="inlineStr">
        <is>
          <t>Si</t>
        </is>
      </c>
      <c r="AF96" s="49" t="inlineStr">
        <is>
          <t>Integral</t>
        </is>
      </c>
      <c r="AG96" s="49" t="n"/>
      <c r="AH96" s="49" t="inlineStr">
        <is>
          <t>Si</t>
        </is>
      </c>
      <c r="AI96" s="49" t="inlineStr">
        <is>
          <t xml:space="preserve">Normal              </t>
        </is>
      </c>
      <c r="AJ96" s="49" t="inlineStr">
        <is>
          <t xml:space="preserve">Quincenal                     </t>
        </is>
      </c>
      <c r="AK96" s="49" t="inlineStr">
        <is>
          <t>NO</t>
        </is>
      </c>
      <c r="AL96" s="49" t="inlineStr">
        <is>
          <t>NO</t>
        </is>
      </c>
      <c r="AM96" s="49" t="inlineStr">
        <is>
          <t>15/04/2024</t>
        </is>
      </c>
      <c r="AN96" s="49" t="n"/>
      <c r="AO96" s="49" t="n"/>
      <c r="AP96" s="49" t="inlineStr">
        <is>
          <t xml:space="preserve">NO APLICA                </t>
        </is>
      </c>
      <c r="AQ96" s="49" t="n">
        <v>118</v>
      </c>
      <c r="AR96" s="49" t="inlineStr">
        <is>
          <t>01</t>
        </is>
      </c>
      <c r="AS96" s="49" t="n">
        <v>1</v>
      </c>
      <c r="AT96" s="49" t="inlineStr">
        <is>
          <t>Si</t>
        </is>
      </c>
      <c r="AU96" s="49" t="n">
        <v>0</v>
      </c>
      <c r="AV96" s="108" t="n">
        <v>0</v>
      </c>
      <c r="AW96" s="108" t="n">
        <v>787476</v>
      </c>
      <c r="AX96" s="108" t="n">
        <v>1</v>
      </c>
      <c r="AY96" s="49" t="inlineStr">
        <is>
          <t>No</t>
        </is>
      </c>
      <c r="AZ96" s="49" t="n">
        <v>672263</v>
      </c>
      <c r="BA96" s="49" t="inlineStr">
        <is>
          <t>SURA E.P.S.</t>
        </is>
      </c>
      <c r="BB96" s="49" t="inlineStr">
        <is>
          <t>COLPENSIONES - I.S.S. PENSION</t>
        </is>
      </c>
      <c r="BC96" s="49" t="inlineStr">
        <is>
          <t>CCF COMFENALCO ANTIOQUIA</t>
        </is>
      </c>
      <c r="BD96" s="49" t="inlineStr">
        <is>
          <t>RIESGOS PROFESIONALES COLMENA S.A.</t>
        </is>
      </c>
      <c r="BE96" s="49" t="inlineStr">
        <is>
          <t>N/A NO APLICA</t>
        </is>
      </c>
      <c r="BF96" s="49" t="n">
        <v>6.96</v>
      </c>
      <c r="BG96" s="49" t="n">
        <v>220</v>
      </c>
      <c r="BH96" s="49" t="n">
        <v>15</v>
      </c>
      <c r="BI96" s="49" t="inlineStr">
        <is>
          <t xml:space="preserve">0           </t>
        </is>
      </c>
      <c r="BJ96" s="49" t="inlineStr">
        <is>
          <t xml:space="preserve">NO APLICA                               </t>
        </is>
      </c>
      <c r="BK96" s="49" t="inlineStr">
        <is>
          <t>02</t>
        </is>
      </c>
      <c r="BL96" s="49" t="inlineStr">
        <is>
          <t xml:space="preserve">Caldas                                  </t>
        </is>
      </c>
      <c r="BM96" s="49" t="inlineStr">
        <is>
          <t>02</t>
        </is>
      </c>
      <c r="BN96" s="49" t="inlineStr">
        <is>
          <t xml:space="preserve">Supia                                   </t>
        </is>
      </c>
      <c r="BO96" s="49" t="inlineStr">
        <is>
          <t>0</t>
        </is>
      </c>
      <c r="BP96" s="49" t="inlineStr">
        <is>
          <t>NO APLICA</t>
        </is>
      </c>
      <c r="BQ96" s="49" t="inlineStr">
        <is>
          <t>0</t>
        </is>
      </c>
      <c r="BR96" s="49" t="inlineStr">
        <is>
          <t>NO APLICA</t>
        </is>
      </c>
      <c r="BS96" s="49" t="inlineStr">
        <is>
          <t>0</t>
        </is>
      </c>
      <c r="BT96" s="49" t="inlineStr">
        <is>
          <t>NO APLICA</t>
        </is>
      </c>
      <c r="BU96" s="49" t="inlineStr">
        <is>
          <t>0</t>
        </is>
      </c>
      <c r="BV96" s="49" t="inlineStr">
        <is>
          <t>NO APLICA</t>
        </is>
      </c>
      <c r="BW96" s="49" t="inlineStr">
        <is>
          <t>No</t>
        </is>
      </c>
      <c r="BX96" s="49" t="inlineStr">
        <is>
          <t xml:space="preserve">No Aplica                     </t>
        </is>
      </c>
    </row>
    <row r="97" ht="22.5" customHeight="1">
      <c r="A97" s="49" t="n">
        <v>16070854</v>
      </c>
      <c r="B97" s="49" t="inlineStr">
        <is>
          <t>018</t>
        </is>
      </c>
      <c r="C97" s="49" t="n">
        <v>16070854</v>
      </c>
      <c r="D97" s="49" t="inlineStr">
        <is>
          <t>CC</t>
        </is>
      </c>
      <c r="E97" s="49" t="inlineStr">
        <is>
          <t>GALLEGO ALVARADO CRISTIAN HERNANDO</t>
        </is>
      </c>
      <c r="F97" s="49" t="inlineStr">
        <is>
          <t>M</t>
        </is>
      </c>
      <c r="G97" s="49" t="inlineStr">
        <is>
          <t xml:space="preserve">O  </t>
        </is>
      </c>
      <c r="H97" s="49" t="inlineStr">
        <is>
          <t>+</t>
        </is>
      </c>
      <c r="I97" s="49" t="inlineStr">
        <is>
          <t>UNION LIBRE</t>
        </is>
      </c>
      <c r="J97" s="49" t="inlineStr">
        <is>
          <t xml:space="preserve">MANIZALES                     </t>
        </is>
      </c>
      <c r="K97" s="49" t="n">
        <v>0</v>
      </c>
      <c r="L97" s="49" t="inlineStr">
        <is>
          <t>30/11/1981</t>
        </is>
      </c>
      <c r="M97" s="49" t="inlineStr">
        <is>
          <t xml:space="preserve">SUPIA                         </t>
        </is>
      </c>
      <c r="N97" s="49" t="inlineStr">
        <is>
          <t xml:space="preserve">3146442751          </t>
        </is>
      </c>
      <c r="O97" s="49" t="inlineStr">
        <is>
          <t>3146442751</t>
        </is>
      </c>
      <c r="P97" s="49" t="inlineStr">
        <is>
          <t xml:space="preserve">CALLE 59 # 10 A - 101                   </t>
        </is>
      </c>
      <c r="Q97" s="49" t="inlineStr">
        <is>
          <t>chgallego81@gmail.com</t>
        </is>
      </c>
      <c r="R97" s="49" t="inlineStr">
        <is>
          <t>JEFE DE PERFORACIÓN Y LOGUEO</t>
        </is>
      </c>
      <c r="S97" s="108" t="n">
        <v>91.66666600000001</v>
      </c>
      <c r="T97" s="108" t="n">
        <v>0</v>
      </c>
      <c r="U97" s="108" t="n">
        <v>220</v>
      </c>
      <c r="V97" s="49" t="inlineStr">
        <is>
          <t>CONSIG. CTA AHORROS</t>
        </is>
      </c>
      <c r="W97" s="49" t="inlineStr">
        <is>
          <t xml:space="preserve">BANCOLOMBIA S.A.              </t>
        </is>
      </c>
      <c r="X97" s="49" t="inlineStr">
        <is>
          <t xml:space="preserve">54121551210              </t>
        </is>
      </c>
      <c r="Y97" s="49" t="inlineStr">
        <is>
          <t xml:space="preserve">NO APLICA                     </t>
        </is>
      </c>
      <c r="Z97" s="49" t="inlineStr">
        <is>
          <t>CM0100-EXP</t>
        </is>
      </c>
      <c r="AA97" s="49" t="inlineStr">
        <is>
          <t>CM0100-EXP</t>
        </is>
      </c>
      <c r="AB97" s="49" t="inlineStr">
        <is>
          <t xml:space="preserve">01 </t>
        </is>
      </c>
      <c r="AC97" s="49" t="inlineStr">
        <is>
          <t xml:space="preserve">0               </t>
        </is>
      </c>
      <c r="AD97" s="49" t="inlineStr">
        <is>
          <t>LEY 50</t>
        </is>
      </c>
      <c r="AE97" s="49" t="inlineStr">
        <is>
          <t>No</t>
        </is>
      </c>
      <c r="AF97" s="49" t="inlineStr">
        <is>
          <t>Normal</t>
        </is>
      </c>
      <c r="AG97" s="49" t="n"/>
      <c r="AH97" s="49" t="inlineStr">
        <is>
          <t>Si</t>
        </is>
      </c>
      <c r="AI97" s="49" t="inlineStr">
        <is>
          <t xml:space="preserve">Normal              </t>
        </is>
      </c>
      <c r="AJ97" s="49" t="inlineStr">
        <is>
          <t xml:space="preserve">Quincenal                     </t>
        </is>
      </c>
      <c r="AK97" s="49" t="inlineStr">
        <is>
          <t>NO</t>
        </is>
      </c>
      <c r="AL97" s="49" t="inlineStr">
        <is>
          <t>NO</t>
        </is>
      </c>
      <c r="AM97" s="49" t="inlineStr">
        <is>
          <t>23/11/2021</t>
        </is>
      </c>
      <c r="AN97" s="49" t="n"/>
      <c r="AO97" s="49" t="n"/>
      <c r="AP97" s="49" t="inlineStr">
        <is>
          <t xml:space="preserve">NO APLICA                </t>
        </is>
      </c>
      <c r="AQ97" s="49" t="n">
        <v>63</v>
      </c>
      <c r="AR97" s="49" t="inlineStr">
        <is>
          <t>01</t>
        </is>
      </c>
      <c r="AS97" s="49" t="n">
        <v>1</v>
      </c>
      <c r="AT97" s="49" t="inlineStr">
        <is>
          <t>No</t>
        </is>
      </c>
      <c r="AU97" s="49" t="n">
        <v>0</v>
      </c>
      <c r="AV97" s="108" t="n">
        <v>0</v>
      </c>
      <c r="AW97" s="108" t="n">
        <v>0</v>
      </c>
      <c r="AX97" s="108" t="n">
        <v>0</v>
      </c>
      <c r="AY97" s="49" t="inlineStr">
        <is>
          <t>No</t>
        </is>
      </c>
      <c r="AZ97" s="49" t="n">
        <v>474224</v>
      </c>
      <c r="BA97" s="49" t="inlineStr">
        <is>
          <t>SURA E.P.S.</t>
        </is>
      </c>
      <c r="BB97" s="49" t="inlineStr">
        <is>
          <t>PROTECCION A.F.P</t>
        </is>
      </c>
      <c r="BC97" s="49" t="inlineStr">
        <is>
          <t>CCF DE CALDAS</t>
        </is>
      </c>
      <c r="BD97" s="49" t="inlineStr">
        <is>
          <t>RIESGOS PROFESIONALES COLMENA S.A.</t>
        </is>
      </c>
      <c r="BE97" s="49" t="inlineStr">
        <is>
          <t>PROTECCION CESANTIAS</t>
        </is>
      </c>
      <c r="BF97" s="49" t="n">
        <v>6.96</v>
      </c>
      <c r="BG97" s="49" t="n">
        <v>220</v>
      </c>
      <c r="BH97" s="49" t="n">
        <v>15</v>
      </c>
      <c r="BI97" s="49" t="inlineStr">
        <is>
          <t xml:space="preserve">0           </t>
        </is>
      </c>
      <c r="BJ97" s="49" t="inlineStr">
        <is>
          <t xml:space="preserve">NO APLICA                               </t>
        </is>
      </c>
      <c r="BK97" s="49" t="inlineStr">
        <is>
          <t>02</t>
        </is>
      </c>
      <c r="BL97" s="49" t="inlineStr">
        <is>
          <t xml:space="preserve">Caldas                                  </t>
        </is>
      </c>
      <c r="BM97" s="49" t="inlineStr">
        <is>
          <t>02</t>
        </is>
      </c>
      <c r="BN97" s="49" t="inlineStr">
        <is>
          <t xml:space="preserve">Supia                                   </t>
        </is>
      </c>
      <c r="BO97" s="49" t="inlineStr">
        <is>
          <t>0</t>
        </is>
      </c>
      <c r="BP97" s="49" t="inlineStr">
        <is>
          <t>NO APLICA</t>
        </is>
      </c>
      <c r="BQ97" s="49" t="inlineStr">
        <is>
          <t>0</t>
        </is>
      </c>
      <c r="BR97" s="49" t="inlineStr">
        <is>
          <t>NO APLICA</t>
        </is>
      </c>
      <c r="BS97" s="49" t="inlineStr">
        <is>
          <t>0</t>
        </is>
      </c>
      <c r="BT97" s="49" t="inlineStr">
        <is>
          <t>NO APLICA</t>
        </is>
      </c>
      <c r="BU97" s="49" t="inlineStr">
        <is>
          <t>0</t>
        </is>
      </c>
      <c r="BV97" s="49" t="inlineStr">
        <is>
          <t>NO APLICA</t>
        </is>
      </c>
      <c r="BW97" s="49" t="inlineStr">
        <is>
          <t>No</t>
        </is>
      </c>
      <c r="BX97" s="49" t="inlineStr">
        <is>
          <t xml:space="preserve">No Aplica                     </t>
        </is>
      </c>
    </row>
    <row r="98" ht="22.5" customHeight="1">
      <c r="A98" s="49" t="n">
        <v>24339233</v>
      </c>
      <c r="B98" s="49" t="inlineStr">
        <is>
          <t>095</t>
        </is>
      </c>
      <c r="C98" s="49" t="n">
        <v>24339233</v>
      </c>
      <c r="D98" s="49" t="inlineStr">
        <is>
          <t>CC</t>
        </is>
      </c>
      <c r="E98" s="49" t="inlineStr">
        <is>
          <t>LONDONO OCAMPO VIVIANA</t>
        </is>
      </c>
      <c r="F98" s="49" t="inlineStr">
        <is>
          <t>F</t>
        </is>
      </c>
      <c r="G98" s="49" t="inlineStr">
        <is>
          <t xml:space="preserve">A  </t>
        </is>
      </c>
      <c r="H98" s="49" t="inlineStr">
        <is>
          <t>+</t>
        </is>
      </c>
      <c r="I98" s="49" t="inlineStr">
        <is>
          <t>DESCONOCIDO</t>
        </is>
      </c>
      <c r="J98" s="49" t="inlineStr">
        <is>
          <t xml:space="preserve">MANIZALES                     </t>
        </is>
      </c>
      <c r="K98" s="49" t="n">
        <v>0</v>
      </c>
      <c r="L98" s="49" t="inlineStr">
        <is>
          <t>29/08/1985</t>
        </is>
      </c>
      <c r="M98" s="49" t="inlineStr">
        <is>
          <t xml:space="preserve">SUPIA                         </t>
        </is>
      </c>
      <c r="N98" s="49" t="inlineStr">
        <is>
          <t xml:space="preserve">0                   </t>
        </is>
      </c>
      <c r="O98" s="49" t="inlineStr">
        <is>
          <t>3244519919</t>
        </is>
      </c>
      <c r="P98" s="49" t="inlineStr">
        <is>
          <t>CR 19, 64A 194</t>
        </is>
      </c>
      <c r="Q98" s="49" t="inlineStr">
        <is>
          <t>vivilondono.geo@gmail.com</t>
        </is>
      </c>
      <c r="R98" s="49" t="inlineStr">
        <is>
          <t>GEOLOGO (A) SENIOR</t>
        </is>
      </c>
      <c r="S98" s="108" t="n">
        <v>91.66666600000001</v>
      </c>
      <c r="T98" s="108" t="n">
        <v>0</v>
      </c>
      <c r="U98" s="108" t="n">
        <v>220</v>
      </c>
      <c r="V98" s="49" t="inlineStr">
        <is>
          <t>CONSIG. CTA AHORROS</t>
        </is>
      </c>
      <c r="W98" s="49" t="inlineStr">
        <is>
          <t xml:space="preserve">BANCO DAVIVIENDA S.A.         </t>
        </is>
      </c>
      <c r="X98" s="49" t="inlineStr">
        <is>
          <t xml:space="preserve">0550488439595569         </t>
        </is>
      </c>
      <c r="Y98" s="49" t="inlineStr">
        <is>
          <t xml:space="preserve">NO APLICA                     </t>
        </is>
      </c>
      <c r="Z98" s="49" t="inlineStr">
        <is>
          <t>CM0100-EXP</t>
        </is>
      </c>
      <c r="AA98" s="49" t="inlineStr">
        <is>
          <t>CM0100-EXP</t>
        </is>
      </c>
      <c r="AB98" s="49" t="inlineStr">
        <is>
          <t xml:space="preserve">01 </t>
        </is>
      </c>
      <c r="AC98" s="49" t="inlineStr">
        <is>
          <t xml:space="preserve">                </t>
        </is>
      </c>
      <c r="AD98" s="49" t="inlineStr">
        <is>
          <t>LEY 50</t>
        </is>
      </c>
      <c r="AE98" s="49" t="inlineStr">
        <is>
          <t>No</t>
        </is>
      </c>
      <c r="AF98" s="49" t="inlineStr">
        <is>
          <t>Normal</t>
        </is>
      </c>
      <c r="AG98" s="49" t="n"/>
      <c r="AH98" s="49" t="inlineStr">
        <is>
          <t>Si</t>
        </is>
      </c>
      <c r="AI98" s="49" t="inlineStr">
        <is>
          <t xml:space="preserve">Normal              </t>
        </is>
      </c>
      <c r="AJ98" s="49" t="inlineStr">
        <is>
          <t xml:space="preserve">Quincenal                     </t>
        </is>
      </c>
      <c r="AK98" s="49" t="inlineStr">
        <is>
          <t>NO</t>
        </is>
      </c>
      <c r="AL98" s="49" t="inlineStr">
        <is>
          <t>NO</t>
        </is>
      </c>
      <c r="AM98" s="49" t="inlineStr">
        <is>
          <t>02/12/2024</t>
        </is>
      </c>
      <c r="AN98" s="49" t="n"/>
      <c r="AO98" s="49" t="n"/>
      <c r="AP98" s="49" t="inlineStr">
        <is>
          <t xml:space="preserve">NO APLICA                </t>
        </is>
      </c>
      <c r="AQ98" s="49" t="n">
        <v>155</v>
      </c>
      <c r="AR98" s="49" t="inlineStr">
        <is>
          <t>01</t>
        </is>
      </c>
      <c r="AS98" s="49" t="n">
        <v>1</v>
      </c>
      <c r="AT98" s="49" t="inlineStr">
        <is>
          <t>No</t>
        </is>
      </c>
      <c r="AU98" s="49" t="n">
        <v>0</v>
      </c>
      <c r="AV98" s="108" t="n">
        <v>0</v>
      </c>
      <c r="AW98" s="108" t="n">
        <v>0</v>
      </c>
      <c r="AX98" s="108" t="n">
        <v>0</v>
      </c>
      <c r="AY98" s="49" t="inlineStr">
        <is>
          <t>No</t>
        </is>
      </c>
      <c r="AZ98" s="49" t="n">
        <v>286266</v>
      </c>
      <c r="BA98" s="49" t="inlineStr">
        <is>
          <t>SALUD TOTAL E.P.S.</t>
        </is>
      </c>
      <c r="BB98" s="49" t="inlineStr">
        <is>
          <t>PROTECCION A.F.P</t>
        </is>
      </c>
      <c r="BC98" s="49" t="inlineStr">
        <is>
          <t>CCF DE CALDAS</t>
        </is>
      </c>
      <c r="BD98" s="49" t="inlineStr">
        <is>
          <t>RIESGOS PROFESIONALES COLMENA S.A.</t>
        </is>
      </c>
      <c r="BE98" s="49" t="inlineStr">
        <is>
          <t>PROTECCION CESANTIAS</t>
        </is>
      </c>
      <c r="BF98" s="49" t="n">
        <v>6.96</v>
      </c>
      <c r="BG98" s="49" t="n">
        <v>220</v>
      </c>
      <c r="BH98" s="49" t="n">
        <v>15</v>
      </c>
      <c r="BI98" s="49" t="inlineStr">
        <is>
          <t xml:space="preserve">0           </t>
        </is>
      </c>
      <c r="BJ98" s="49" t="inlineStr">
        <is>
          <t xml:space="preserve">NO APLICA                               </t>
        </is>
      </c>
      <c r="BK98" s="49" t="inlineStr">
        <is>
          <t>02</t>
        </is>
      </c>
      <c r="BL98" s="49" t="inlineStr">
        <is>
          <t xml:space="preserve">Caldas                                  </t>
        </is>
      </c>
      <c r="BM98" s="49" t="inlineStr">
        <is>
          <t>02</t>
        </is>
      </c>
      <c r="BN98" s="49" t="inlineStr">
        <is>
          <t xml:space="preserve">Supia                                   </t>
        </is>
      </c>
      <c r="BO98" s="49" t="inlineStr">
        <is>
          <t>0</t>
        </is>
      </c>
      <c r="BP98" s="49" t="inlineStr">
        <is>
          <t>NO APLICA</t>
        </is>
      </c>
      <c r="BQ98" s="49" t="inlineStr">
        <is>
          <t>0</t>
        </is>
      </c>
      <c r="BR98" s="49" t="inlineStr">
        <is>
          <t>NO APLICA</t>
        </is>
      </c>
      <c r="BS98" s="49" t="inlineStr">
        <is>
          <t>0</t>
        </is>
      </c>
      <c r="BT98" s="49" t="inlineStr">
        <is>
          <t>NO APLICA</t>
        </is>
      </c>
      <c r="BU98" s="49" t="inlineStr">
        <is>
          <t>0</t>
        </is>
      </c>
      <c r="BV98" s="49" t="inlineStr">
        <is>
          <t>NO APLICA</t>
        </is>
      </c>
      <c r="BW98" s="49" t="inlineStr">
        <is>
          <t>No</t>
        </is>
      </c>
      <c r="BX98" s="49" t="inlineStr">
        <is>
          <t xml:space="preserve">No Aplica                     </t>
        </is>
      </c>
    </row>
    <row r="99" ht="22.5" customHeight="1">
      <c r="A99" s="49" t="n">
        <v>24743274</v>
      </c>
      <c r="B99" s="49" t="inlineStr">
        <is>
          <t>017</t>
        </is>
      </c>
      <c r="C99" s="49" t="n">
        <v>24743274</v>
      </c>
      <c r="D99" s="49" t="inlineStr">
        <is>
          <t>CC</t>
        </is>
      </c>
      <c r="E99" s="49" t="inlineStr">
        <is>
          <t>GALLEGO MEJIA BEATRIZ HELENA</t>
        </is>
      </c>
      <c r="F99" s="49" t="inlineStr">
        <is>
          <t>F</t>
        </is>
      </c>
      <c r="G99" s="49" t="inlineStr">
        <is>
          <t xml:space="preserve">O  </t>
        </is>
      </c>
      <c r="H99" s="49" t="inlineStr">
        <is>
          <t>+</t>
        </is>
      </c>
      <c r="I99" s="49" t="inlineStr">
        <is>
          <t>SOLTERO</t>
        </is>
      </c>
      <c r="J99" s="49" t="inlineStr">
        <is>
          <t xml:space="preserve">MARMATO                       </t>
        </is>
      </c>
      <c r="K99" s="49" t="n">
        <v>0</v>
      </c>
      <c r="L99" s="49" t="inlineStr">
        <is>
          <t>12/09/1985</t>
        </is>
      </c>
      <c r="M99" s="49" t="inlineStr">
        <is>
          <t xml:space="preserve">MARMATO                       </t>
        </is>
      </c>
      <c r="N99" s="49" t="inlineStr">
        <is>
          <t xml:space="preserve">3137443445          </t>
        </is>
      </c>
      <c r="O99" s="49" t="inlineStr">
        <is>
          <t>3137443445</t>
        </is>
      </c>
      <c r="P99" s="49" t="inlineStr">
        <is>
          <t>Barrio la Rancheria - Casa 4</t>
        </is>
      </c>
      <c r="Q99" s="49" t="inlineStr">
        <is>
          <t>bhgalleg@gmail.com</t>
        </is>
      </c>
      <c r="R99" s="49" t="inlineStr">
        <is>
          <t>JEFE DE FORMALIZACION</t>
        </is>
      </c>
      <c r="S99" s="108" t="n">
        <v>91.66666600000001</v>
      </c>
      <c r="T99" s="108" t="n">
        <v>0</v>
      </c>
      <c r="U99" s="108" t="n">
        <v>220</v>
      </c>
      <c r="V99" s="49" t="inlineStr">
        <is>
          <t>CONSIG. CTA AHORROS</t>
        </is>
      </c>
      <c r="W99" s="49" t="inlineStr">
        <is>
          <t xml:space="preserve">BANCOLOMBIA S.A.              </t>
        </is>
      </c>
      <c r="X99" s="49" t="inlineStr">
        <is>
          <t xml:space="preserve">36876599427              </t>
        </is>
      </c>
      <c r="Y99" s="49" t="inlineStr">
        <is>
          <t xml:space="preserve">NO APLICA                     </t>
        </is>
      </c>
      <c r="Z99" s="49" t="inlineStr">
        <is>
          <t>CM0203-ESG</t>
        </is>
      </c>
      <c r="AA99" s="49" t="inlineStr">
        <is>
          <t>CM0203-ESGFORM</t>
        </is>
      </c>
      <c r="AB99" s="49" t="inlineStr">
        <is>
          <t xml:space="preserve">01 </t>
        </is>
      </c>
      <c r="AC99" s="49" t="inlineStr">
        <is>
          <t xml:space="preserve">0               </t>
        </is>
      </c>
      <c r="AD99" s="49" t="inlineStr">
        <is>
          <t>LEY 50</t>
        </is>
      </c>
      <c r="AE99" s="49" t="inlineStr">
        <is>
          <t>Si</t>
        </is>
      </c>
      <c r="AF99" s="49" t="inlineStr">
        <is>
          <t>Normal</t>
        </is>
      </c>
      <c r="AG99" s="49" t="n"/>
      <c r="AH99" s="49" t="inlineStr">
        <is>
          <t>Si</t>
        </is>
      </c>
      <c r="AI99" s="49" t="inlineStr">
        <is>
          <t xml:space="preserve">Normal              </t>
        </is>
      </c>
      <c r="AJ99" s="49" t="inlineStr">
        <is>
          <t xml:space="preserve">Quincenal                     </t>
        </is>
      </c>
      <c r="AK99" s="49" t="inlineStr">
        <is>
          <t>NO</t>
        </is>
      </c>
      <c r="AL99" s="49" t="inlineStr">
        <is>
          <t>NO</t>
        </is>
      </c>
      <c r="AM99" s="49" t="inlineStr">
        <is>
          <t>23/09/2021</t>
        </is>
      </c>
      <c r="AN99" s="49" t="n"/>
      <c r="AO99" s="49" t="n"/>
      <c r="AP99" s="49" t="inlineStr">
        <is>
          <t xml:space="preserve">NO APLICA                </t>
        </is>
      </c>
      <c r="AQ99" s="49" t="n">
        <v>65</v>
      </c>
      <c r="AR99" s="49" t="inlineStr">
        <is>
          <t>03</t>
        </is>
      </c>
      <c r="AS99" s="49" t="n">
        <v>1</v>
      </c>
      <c r="AT99" s="49" t="inlineStr">
        <is>
          <t>Si</t>
        </is>
      </c>
      <c r="AU99" s="49" t="n">
        <v>0</v>
      </c>
      <c r="AV99" s="108" t="n">
        <v>0</v>
      </c>
      <c r="AW99" s="108" t="n">
        <v>651951</v>
      </c>
      <c r="AX99" s="108" t="n">
        <v>1</v>
      </c>
      <c r="AY99" s="49" t="inlineStr">
        <is>
          <t>No</t>
        </is>
      </c>
      <c r="AZ99" s="49" t="n">
        <v>420557</v>
      </c>
      <c r="BA99" s="49" t="inlineStr">
        <is>
          <t>SURA E.P.S.</t>
        </is>
      </c>
      <c r="BB99" s="49" t="inlineStr">
        <is>
          <t>COLPENSIONES - I.S.S. PENSION</t>
        </is>
      </c>
      <c r="BC99" s="49" t="inlineStr">
        <is>
          <t>CCF DE CALDAS</t>
        </is>
      </c>
      <c r="BD99" s="49" t="inlineStr">
        <is>
          <t>RIESGOS PROFESIONALES COLMENA S.A.</t>
        </is>
      </c>
      <c r="BE99" s="49" t="inlineStr">
        <is>
          <t>PORVENIR CESANTIAS</t>
        </is>
      </c>
      <c r="BF99" s="49" t="n">
        <v>6.96</v>
      </c>
      <c r="BG99" s="49" t="n">
        <v>220</v>
      </c>
      <c r="BH99" s="49" t="n">
        <v>15</v>
      </c>
      <c r="BI99" s="49" t="inlineStr">
        <is>
          <t xml:space="preserve">0           </t>
        </is>
      </c>
      <c r="BJ99" s="49" t="inlineStr">
        <is>
          <t xml:space="preserve">NO APLICA                               </t>
        </is>
      </c>
      <c r="BK99" s="49" t="inlineStr">
        <is>
          <t>02</t>
        </is>
      </c>
      <c r="BL99" s="49" t="inlineStr">
        <is>
          <t xml:space="preserve">Caldas                                  </t>
        </is>
      </c>
      <c r="BM99" s="49" t="inlineStr">
        <is>
          <t>03</t>
        </is>
      </c>
      <c r="BN99" s="49" t="inlineStr">
        <is>
          <t xml:space="preserve">Marmato                                 </t>
        </is>
      </c>
      <c r="BO99" s="49" t="inlineStr">
        <is>
          <t>0</t>
        </is>
      </c>
      <c r="BP99" s="49" t="inlineStr">
        <is>
          <t>NO APLICA</t>
        </is>
      </c>
      <c r="BQ99" s="49" t="inlineStr">
        <is>
          <t>0</t>
        </is>
      </c>
      <c r="BR99" s="49" t="inlineStr">
        <is>
          <t>NO APLICA</t>
        </is>
      </c>
      <c r="BS99" s="49" t="inlineStr">
        <is>
          <t>0</t>
        </is>
      </c>
      <c r="BT99" s="49" t="inlineStr">
        <is>
          <t>NO APLICA</t>
        </is>
      </c>
      <c r="BU99" s="49" t="inlineStr">
        <is>
          <t>0</t>
        </is>
      </c>
      <c r="BV99" s="49" t="inlineStr">
        <is>
          <t>NO APLICA</t>
        </is>
      </c>
      <c r="BW99" s="49" t="inlineStr">
        <is>
          <t>No</t>
        </is>
      </c>
      <c r="BX99" s="49" t="inlineStr">
        <is>
          <t xml:space="preserve">No Aplica                     </t>
        </is>
      </c>
    </row>
    <row r="100" ht="22.5" customHeight="1">
      <c r="A100" s="49" t="n">
        <v>25215588</v>
      </c>
      <c r="B100" s="49" t="inlineStr">
        <is>
          <t xml:space="preserve"> 124</t>
        </is>
      </c>
      <c r="C100" s="49" t="n">
        <v>25215588</v>
      </c>
      <c r="D100" s="49" t="inlineStr">
        <is>
          <t>CC</t>
        </is>
      </c>
      <c r="E100" s="49" t="inlineStr">
        <is>
          <t>IGLESIAS ESCUDERO KELLY JOHANA</t>
        </is>
      </c>
      <c r="F100" s="49" t="inlineStr">
        <is>
          <t>F</t>
        </is>
      </c>
      <c r="G100" s="49" t="inlineStr">
        <is>
          <t xml:space="preserve">A  </t>
        </is>
      </c>
      <c r="H100" s="49" t="inlineStr">
        <is>
          <t>+</t>
        </is>
      </c>
      <c r="I100" s="49" t="inlineStr">
        <is>
          <t>DESCONOCIDO</t>
        </is>
      </c>
      <c r="J100" s="49" t="inlineStr">
        <is>
          <t xml:space="preserve">SUPIA                         </t>
        </is>
      </c>
      <c r="K100" s="49" t="n">
        <v>0</v>
      </c>
      <c r="L100" s="49" t="inlineStr">
        <is>
          <t>22/05/1985</t>
        </is>
      </c>
      <c r="M100" s="49" t="inlineStr">
        <is>
          <t xml:space="preserve">SUPIA                         </t>
        </is>
      </c>
      <c r="N100" s="49" t="inlineStr">
        <is>
          <t xml:space="preserve">0000                </t>
        </is>
      </c>
      <c r="O100" s="49" t="inlineStr">
        <is>
          <t>3022292421</t>
        </is>
      </c>
      <c r="P100" s="49" t="inlineStr">
        <is>
          <t>VDA LA BODEGA</t>
        </is>
      </c>
      <c r="Q100" s="49" t="inlineStr">
        <is>
          <t>Kelly-iglesias@hotmail.com</t>
        </is>
      </c>
      <c r="R100" s="49" t="inlineStr">
        <is>
          <t>AUXILIAR DE GESTION SOCIAL</t>
        </is>
      </c>
      <c r="S100" s="108" t="n">
        <v>91.66666600000001</v>
      </c>
      <c r="T100" s="108" t="n">
        <v>0</v>
      </c>
      <c r="U100" s="108" t="n">
        <v>220</v>
      </c>
      <c r="V100" s="49" t="inlineStr">
        <is>
          <t>CONSIG. CTA AHORROS</t>
        </is>
      </c>
      <c r="W100" s="49" t="inlineStr">
        <is>
          <t xml:space="preserve">BANCO DAVIVIENDA S.A.         </t>
        </is>
      </c>
      <c r="X100" s="49" t="inlineStr">
        <is>
          <t xml:space="preserve">0550488425477251         </t>
        </is>
      </c>
      <c r="Y100" s="49" t="inlineStr">
        <is>
          <t xml:space="preserve">NO APLICA                     </t>
        </is>
      </c>
      <c r="Z100" s="49" t="inlineStr">
        <is>
          <t>CM0201-ESG</t>
        </is>
      </c>
      <c r="AA100" s="49" t="inlineStr">
        <is>
          <t>CM0201-ESGSOC</t>
        </is>
      </c>
      <c r="AB100" s="49" t="inlineStr">
        <is>
          <t xml:space="preserve">01 </t>
        </is>
      </c>
      <c r="AC100" s="49" t="inlineStr">
        <is>
          <t xml:space="preserve">                </t>
        </is>
      </c>
      <c r="AD100" s="49" t="inlineStr">
        <is>
          <t>LEY 50</t>
        </is>
      </c>
      <c r="AE100" s="49" t="inlineStr">
        <is>
          <t>No</t>
        </is>
      </c>
      <c r="AF100" s="49" t="inlineStr">
        <is>
          <t>Normal</t>
        </is>
      </c>
      <c r="AG100" s="49" t="n"/>
      <c r="AH100" s="49" t="inlineStr">
        <is>
          <t>Si</t>
        </is>
      </c>
      <c r="AI100" s="49" t="inlineStr">
        <is>
          <t xml:space="preserve">Normal              </t>
        </is>
      </c>
      <c r="AJ100" s="49" t="inlineStr">
        <is>
          <t xml:space="preserve">Quincenal                     </t>
        </is>
      </c>
      <c r="AK100" s="49" t="inlineStr">
        <is>
          <t>NO</t>
        </is>
      </c>
      <c r="AL100" s="49" t="inlineStr">
        <is>
          <t>NO</t>
        </is>
      </c>
      <c r="AM100" s="49" t="inlineStr">
        <is>
          <t>18/06/2025</t>
        </is>
      </c>
      <c r="AN100" s="49" t="n"/>
      <c r="AO100" s="49" t="n"/>
      <c r="AP100" s="49" t="inlineStr">
        <is>
          <t xml:space="preserve">NO APLICA                </t>
        </is>
      </c>
      <c r="AQ100" s="49" t="n">
        <v>182</v>
      </c>
      <c r="AR100" s="49" t="inlineStr">
        <is>
          <t>01</t>
        </is>
      </c>
      <c r="AS100" s="49" t="n">
        <v>1</v>
      </c>
      <c r="AT100" s="49" t="inlineStr">
        <is>
          <t>No</t>
        </is>
      </c>
      <c r="AU100" s="49" t="n">
        <v>0</v>
      </c>
      <c r="AV100" s="108" t="n">
        <v>0</v>
      </c>
      <c r="AW100" s="108" t="n">
        <v>0</v>
      </c>
      <c r="AX100" s="108" t="n">
        <v>0</v>
      </c>
      <c r="AY100" s="49" t="inlineStr">
        <is>
          <t>No</t>
        </is>
      </c>
      <c r="AZ100" s="49" t="n">
        <v>0</v>
      </c>
      <c r="BA100" s="49" t="inlineStr">
        <is>
          <t>NUEVA E.P.S</t>
        </is>
      </c>
      <c r="BB100" s="49" t="inlineStr">
        <is>
          <t>PORVENIR A.F.P.</t>
        </is>
      </c>
      <c r="BC100" s="49" t="inlineStr">
        <is>
          <t>CCF DE CALDAS</t>
        </is>
      </c>
      <c r="BD100" s="49" t="inlineStr">
        <is>
          <t>RIESGOS PROFESIONALES COLMENA S.A.</t>
        </is>
      </c>
      <c r="BE100" s="49" t="inlineStr">
        <is>
          <t>PORVENIR CESANTIAS</t>
        </is>
      </c>
      <c r="BF100" s="49" t="n">
        <v>6.96</v>
      </c>
      <c r="BG100" s="49" t="n">
        <v>220</v>
      </c>
      <c r="BH100" s="49" t="n">
        <v>15</v>
      </c>
      <c r="BI100" s="49" t="inlineStr">
        <is>
          <t xml:space="preserve">0           </t>
        </is>
      </c>
      <c r="BJ100" s="49" t="inlineStr">
        <is>
          <t xml:space="preserve">NO APLICA                               </t>
        </is>
      </c>
      <c r="BK100" s="49" t="inlineStr">
        <is>
          <t>02</t>
        </is>
      </c>
      <c r="BL100" s="49" t="inlineStr">
        <is>
          <t xml:space="preserve">Caldas                                  </t>
        </is>
      </c>
      <c r="BM100" s="49" t="inlineStr">
        <is>
          <t>02</t>
        </is>
      </c>
      <c r="BN100" s="49" t="inlineStr">
        <is>
          <t xml:space="preserve">Supia                                   </t>
        </is>
      </c>
      <c r="BO100" s="49" t="inlineStr">
        <is>
          <t>0</t>
        </is>
      </c>
      <c r="BP100" s="49" t="inlineStr">
        <is>
          <t>NO APLICA</t>
        </is>
      </c>
      <c r="BQ100" s="49" t="inlineStr">
        <is>
          <t>0</t>
        </is>
      </c>
      <c r="BR100" s="49" t="inlineStr">
        <is>
          <t>NO APLICA</t>
        </is>
      </c>
      <c r="BS100" s="49" t="inlineStr">
        <is>
          <t>0</t>
        </is>
      </c>
      <c r="BT100" s="49" t="inlineStr">
        <is>
          <t>NO APLICA</t>
        </is>
      </c>
      <c r="BU100" s="49" t="inlineStr">
        <is>
          <t>0</t>
        </is>
      </c>
      <c r="BV100" s="49" t="inlineStr">
        <is>
          <t>NO APLICA</t>
        </is>
      </c>
      <c r="BW100" s="49" t="inlineStr">
        <is>
          <t>No</t>
        </is>
      </c>
      <c r="BX100" s="49" t="inlineStr">
        <is>
          <t xml:space="preserve">No Aplica                     </t>
        </is>
      </c>
    </row>
    <row r="101" ht="15" customHeight="1">
      <c r="A101" s="49" t="n">
        <v>30402718</v>
      </c>
      <c r="B101" s="49" t="inlineStr">
        <is>
          <t>011</t>
        </is>
      </c>
      <c r="C101" s="49" t="n">
        <v>30402718</v>
      </c>
      <c r="D101" s="49" t="inlineStr">
        <is>
          <t>CC</t>
        </is>
      </c>
      <c r="E101" s="49" t="inlineStr">
        <is>
          <t>HURTADO SALAZAR RUTH LYOMAR</t>
        </is>
      </c>
      <c r="F101" s="49" t="inlineStr">
        <is>
          <t>F</t>
        </is>
      </c>
      <c r="G101" s="49" t="inlineStr">
        <is>
          <t xml:space="preserve">O  </t>
        </is>
      </c>
      <c r="H101" s="49" t="inlineStr">
        <is>
          <t>+</t>
        </is>
      </c>
      <c r="I101" s="49" t="inlineStr">
        <is>
          <t>UNION LIBRE</t>
        </is>
      </c>
      <c r="J101" s="49" t="inlineStr">
        <is>
          <t xml:space="preserve">MANIZALES                     </t>
        </is>
      </c>
      <c r="K101" s="49" t="n">
        <v>0</v>
      </c>
      <c r="L101" s="49" t="inlineStr">
        <is>
          <t>23/09/1979</t>
        </is>
      </c>
      <c r="M101" s="49" t="inlineStr">
        <is>
          <t xml:space="preserve">SUPIA                         </t>
        </is>
      </c>
      <c r="N101" s="49" t="inlineStr">
        <is>
          <t xml:space="preserve">3174249814          </t>
        </is>
      </c>
      <c r="O101" s="49" t="inlineStr">
        <is>
          <t>3174249814</t>
        </is>
      </c>
      <c r="P101" s="49" t="inlineStr">
        <is>
          <t xml:space="preserve">CRA 32A # 46 13                         </t>
        </is>
      </c>
      <c r="Q101" s="49" t="inlineStr">
        <is>
          <t>r.hurtado@collectivemining.com</t>
        </is>
      </c>
      <c r="R101" s="49" t="inlineStr">
        <is>
          <t>GEOLOGO (A) SENIOR</t>
        </is>
      </c>
      <c r="S101" s="108" t="n">
        <v>91.66666600000001</v>
      </c>
      <c r="T101" s="108" t="n">
        <v>0</v>
      </c>
      <c r="U101" s="108" t="n">
        <v>220</v>
      </c>
      <c r="V101" s="49" t="inlineStr">
        <is>
          <t>CONSIG. CTA AHORROS</t>
        </is>
      </c>
      <c r="W101" s="49" t="inlineStr">
        <is>
          <t xml:space="preserve">BBVA COLOMBIA                 </t>
        </is>
      </c>
      <c r="X101" s="49" t="inlineStr">
        <is>
          <t xml:space="preserve">537005681                </t>
        </is>
      </c>
      <c r="Y101" s="49" t="inlineStr">
        <is>
          <t xml:space="preserve">NO APLICA                     </t>
        </is>
      </c>
      <c r="Z101" s="49" t="inlineStr">
        <is>
          <t>CM0100-EXP</t>
        </is>
      </c>
      <c r="AA101" s="49" t="inlineStr">
        <is>
          <t>CM0100-EXP</t>
        </is>
      </c>
      <c r="AB101" s="49" t="inlineStr">
        <is>
          <t xml:space="preserve">01 </t>
        </is>
      </c>
      <c r="AC101" s="49" t="inlineStr">
        <is>
          <t xml:space="preserve">0               </t>
        </is>
      </c>
      <c r="AD101" s="49" t="inlineStr">
        <is>
          <t>LEY 50</t>
        </is>
      </c>
      <c r="AE101" s="49" t="inlineStr">
        <is>
          <t>No</t>
        </is>
      </c>
      <c r="AF101" s="49" t="inlineStr">
        <is>
          <t>Normal</t>
        </is>
      </c>
      <c r="AG101" s="49" t="n"/>
      <c r="AH101" s="49" t="inlineStr">
        <is>
          <t>Si</t>
        </is>
      </c>
      <c r="AI101" s="49" t="inlineStr">
        <is>
          <t xml:space="preserve">Normal              </t>
        </is>
      </c>
      <c r="AJ101" s="49" t="inlineStr">
        <is>
          <t xml:space="preserve">Quincenal                     </t>
        </is>
      </c>
      <c r="AK101" s="49" t="inlineStr">
        <is>
          <t>NO</t>
        </is>
      </c>
      <c r="AL101" s="49" t="inlineStr">
        <is>
          <t>NO</t>
        </is>
      </c>
      <c r="AM101" s="49" t="inlineStr">
        <is>
          <t>01/03/2021</t>
        </is>
      </c>
      <c r="AN101" s="49" t="n"/>
      <c r="AO101" s="49" t="n"/>
      <c r="AP101" s="49" t="inlineStr">
        <is>
          <t xml:space="preserve">NO APLICA                </t>
        </is>
      </c>
      <c r="AQ101" s="49" t="n">
        <v>66</v>
      </c>
      <c r="AR101" s="49" t="inlineStr">
        <is>
          <t>01</t>
        </is>
      </c>
      <c r="AS101" s="49" t="n">
        <v>1</v>
      </c>
      <c r="AT101" s="49" t="inlineStr">
        <is>
          <t>No</t>
        </is>
      </c>
      <c r="AU101" s="49" t="n">
        <v>0</v>
      </c>
      <c r="AV101" s="108" t="n">
        <v>0</v>
      </c>
      <c r="AW101" s="108" t="n">
        <v>0</v>
      </c>
      <c r="AX101" s="108" t="n">
        <v>0</v>
      </c>
      <c r="AY101" s="49" t="inlineStr">
        <is>
          <t>No</t>
        </is>
      </c>
      <c r="AZ101" s="49" t="n">
        <v>350042</v>
      </c>
      <c r="BA101" s="49" t="inlineStr">
        <is>
          <t>SURA E.P.S.</t>
        </is>
      </c>
      <c r="BB101" s="49" t="inlineStr">
        <is>
          <t>PROTECCION A.F.P</t>
        </is>
      </c>
      <c r="BC101" s="49" t="inlineStr">
        <is>
          <t>CCF DE CALDAS</t>
        </is>
      </c>
      <c r="BD101" s="49" t="inlineStr">
        <is>
          <t>RIESGOS PROFESIONALES COLMENA S.A.</t>
        </is>
      </c>
      <c r="BE101" s="49" t="inlineStr">
        <is>
          <t>PROTECCION CESANTIAS</t>
        </is>
      </c>
      <c r="BF101" s="49" t="n">
        <v>0.522</v>
      </c>
      <c r="BG101" s="49" t="n">
        <v>220</v>
      </c>
      <c r="BH101" s="49" t="n">
        <v>15</v>
      </c>
      <c r="BI101" s="49" t="inlineStr">
        <is>
          <t xml:space="preserve">0           </t>
        </is>
      </c>
      <c r="BJ101" s="49" t="inlineStr">
        <is>
          <t xml:space="preserve">NO APLICA                               </t>
        </is>
      </c>
      <c r="BK101" s="49" t="inlineStr">
        <is>
          <t>02</t>
        </is>
      </c>
      <c r="BL101" s="49" t="inlineStr">
        <is>
          <t xml:space="preserve">Caldas                                  </t>
        </is>
      </c>
      <c r="BM101" s="49" t="inlineStr">
        <is>
          <t>02</t>
        </is>
      </c>
      <c r="BN101" s="49" t="inlineStr">
        <is>
          <t xml:space="preserve">Supia                                   </t>
        </is>
      </c>
      <c r="BO101" s="49" t="inlineStr">
        <is>
          <t>0</t>
        </is>
      </c>
      <c r="BP101" s="49" t="inlineStr">
        <is>
          <t>NO APLICA</t>
        </is>
      </c>
      <c r="BQ101" s="49" t="inlineStr">
        <is>
          <t>0</t>
        </is>
      </c>
      <c r="BR101" s="49" t="inlineStr">
        <is>
          <t>NO APLICA</t>
        </is>
      </c>
      <c r="BS101" s="49" t="inlineStr">
        <is>
          <t>0</t>
        </is>
      </c>
      <c r="BT101" s="49" t="inlineStr">
        <is>
          <t>NO APLICA</t>
        </is>
      </c>
      <c r="BU101" s="49" t="inlineStr">
        <is>
          <t>0</t>
        </is>
      </c>
      <c r="BV101" s="49" t="inlineStr">
        <is>
          <t>NO APLICA</t>
        </is>
      </c>
      <c r="BW101" s="49" t="inlineStr">
        <is>
          <t>No</t>
        </is>
      </c>
      <c r="BX101" s="49" t="inlineStr">
        <is>
          <t xml:space="preserve">No Aplica                     </t>
        </is>
      </c>
    </row>
    <row r="102" ht="22.5" customHeight="1">
      <c r="A102" s="49" t="n">
        <v>33994016</v>
      </c>
      <c r="B102" s="49" t="inlineStr">
        <is>
          <t xml:space="preserve"> 125</t>
        </is>
      </c>
      <c r="C102" s="49" t="n">
        <v>33994016</v>
      </c>
      <c r="D102" s="49" t="inlineStr">
        <is>
          <t>CC</t>
        </is>
      </c>
      <c r="E102" s="49" t="inlineStr">
        <is>
          <t>VALENCIA VALENCIA LUZ MARY</t>
        </is>
      </c>
      <c r="F102" s="49" t="inlineStr">
        <is>
          <t>F</t>
        </is>
      </c>
      <c r="G102" s="49" t="inlineStr">
        <is>
          <t xml:space="preserve">A  </t>
        </is>
      </c>
      <c r="H102" s="49" t="inlineStr">
        <is>
          <t>+</t>
        </is>
      </c>
      <c r="I102" s="49" t="inlineStr">
        <is>
          <t>SOLTERO</t>
        </is>
      </c>
      <c r="J102" s="49" t="inlineStr">
        <is>
          <t xml:space="preserve">SUPIA                         </t>
        </is>
      </c>
      <c r="K102" s="49" t="n">
        <v>0</v>
      </c>
      <c r="L102" s="49" t="inlineStr">
        <is>
          <t>12/05/1981</t>
        </is>
      </c>
      <c r="M102" s="49" t="inlineStr">
        <is>
          <t xml:space="preserve">SUPIA                         </t>
        </is>
      </c>
      <c r="N102" s="49" t="inlineStr">
        <is>
          <t xml:space="preserve">0000                </t>
        </is>
      </c>
      <c r="O102" s="49" t="inlineStr">
        <is>
          <t>3204647070</t>
        </is>
      </c>
      <c r="P102" s="49" t="inlineStr">
        <is>
          <t xml:space="preserve"> Cl 17 b  7 22</t>
        </is>
      </c>
      <c r="Q102" s="49" t="inlineStr">
        <is>
          <t>valenciamary880@gmail.com</t>
        </is>
      </c>
      <c r="R102" s="49" t="inlineStr">
        <is>
          <t>ANALISTA DE GESTION SOCIAL</t>
        </is>
      </c>
      <c r="S102" s="108" t="n">
        <v>91.66666600000001</v>
      </c>
      <c r="T102" s="108" t="n">
        <v>0</v>
      </c>
      <c r="U102" s="108" t="n">
        <v>220</v>
      </c>
      <c r="V102" s="49" t="inlineStr">
        <is>
          <t>CONSIG. CTA AHORROS</t>
        </is>
      </c>
      <c r="W102" s="49" t="inlineStr">
        <is>
          <t xml:space="preserve">BANCO DAVIVIENDA S.A.         </t>
        </is>
      </c>
      <c r="X102" s="49" t="inlineStr">
        <is>
          <t xml:space="preserve">0550488444945395         </t>
        </is>
      </c>
      <c r="Y102" s="49" t="inlineStr">
        <is>
          <t xml:space="preserve">NO APLICA                     </t>
        </is>
      </c>
      <c r="Z102" s="49" t="inlineStr">
        <is>
          <t>CM0201-ESG</t>
        </is>
      </c>
      <c r="AA102" s="49" t="inlineStr">
        <is>
          <t>CM0201-ESGSOC</t>
        </is>
      </c>
      <c r="AB102" s="49" t="inlineStr">
        <is>
          <t xml:space="preserve">01 </t>
        </is>
      </c>
      <c r="AC102" s="49" t="inlineStr">
        <is>
          <t xml:space="preserve">                </t>
        </is>
      </c>
      <c r="AD102" s="49" t="inlineStr">
        <is>
          <t>LEY 50</t>
        </is>
      </c>
      <c r="AE102" s="49" t="inlineStr">
        <is>
          <t>No</t>
        </is>
      </c>
      <c r="AF102" s="49" t="inlineStr">
        <is>
          <t>Normal</t>
        </is>
      </c>
      <c r="AG102" s="49" t="n"/>
      <c r="AH102" s="49" t="inlineStr">
        <is>
          <t>Si</t>
        </is>
      </c>
      <c r="AI102" s="49" t="inlineStr">
        <is>
          <t xml:space="preserve">Normal              </t>
        </is>
      </c>
      <c r="AJ102" s="49" t="inlineStr">
        <is>
          <t xml:space="preserve">Quincenal                     </t>
        </is>
      </c>
      <c r="AK102" s="49" t="inlineStr">
        <is>
          <t>NO</t>
        </is>
      </c>
      <c r="AL102" s="49" t="inlineStr">
        <is>
          <t>NO</t>
        </is>
      </c>
      <c r="AM102" s="49" t="inlineStr">
        <is>
          <t>18/06/2025</t>
        </is>
      </c>
      <c r="AN102" s="49" t="n"/>
      <c r="AO102" s="49" t="n"/>
      <c r="AP102" s="49" t="inlineStr">
        <is>
          <t xml:space="preserve">NO APLICA                </t>
        </is>
      </c>
      <c r="AQ102" s="49" t="n">
        <v>183</v>
      </c>
      <c r="AR102" s="49" t="inlineStr">
        <is>
          <t>01</t>
        </is>
      </c>
      <c r="AS102" s="49" t="n">
        <v>1</v>
      </c>
      <c r="AT102" s="49" t="inlineStr">
        <is>
          <t>No</t>
        </is>
      </c>
      <c r="AU102" s="49" t="n">
        <v>0</v>
      </c>
      <c r="AV102" s="108" t="n">
        <v>0</v>
      </c>
      <c r="AW102" s="108" t="n">
        <v>0</v>
      </c>
      <c r="AX102" s="108" t="n">
        <v>0</v>
      </c>
      <c r="AY102" s="49" t="inlineStr">
        <is>
          <t>No</t>
        </is>
      </c>
      <c r="AZ102" s="49" t="n">
        <v>0</v>
      </c>
      <c r="BA102" s="49" t="inlineStr">
        <is>
          <t>NUEVA E.P.S</t>
        </is>
      </c>
      <c r="BB102" s="49" t="inlineStr">
        <is>
          <t>PORVENIR A.F.P.</t>
        </is>
      </c>
      <c r="BC102" s="49" t="inlineStr">
        <is>
          <t>CCF DE CALDAS</t>
        </is>
      </c>
      <c r="BD102" s="49" t="inlineStr">
        <is>
          <t>RIESGOS PROFESIONALES COLMENA S.A.</t>
        </is>
      </c>
      <c r="BE102" s="49" t="inlineStr">
        <is>
          <t>PORVENIR CESANTIAS</t>
        </is>
      </c>
      <c r="BF102" s="49" t="n">
        <v>6.96</v>
      </c>
      <c r="BG102" s="49" t="n">
        <v>220</v>
      </c>
      <c r="BH102" s="49" t="n">
        <v>15</v>
      </c>
      <c r="BI102" s="49" t="inlineStr">
        <is>
          <t xml:space="preserve">0           </t>
        </is>
      </c>
      <c r="BJ102" s="49" t="inlineStr">
        <is>
          <t xml:space="preserve">NO APLICA                               </t>
        </is>
      </c>
      <c r="BK102" s="49" t="inlineStr">
        <is>
          <t>02</t>
        </is>
      </c>
      <c r="BL102" s="49" t="inlineStr">
        <is>
          <t xml:space="preserve">Caldas                                  </t>
        </is>
      </c>
      <c r="BM102" s="49" t="inlineStr">
        <is>
          <t>02</t>
        </is>
      </c>
      <c r="BN102" s="49" t="inlineStr">
        <is>
          <t xml:space="preserve">Supia                                   </t>
        </is>
      </c>
      <c r="BO102" s="49" t="inlineStr">
        <is>
          <t>0</t>
        </is>
      </c>
      <c r="BP102" s="49" t="inlineStr">
        <is>
          <t>NO APLICA</t>
        </is>
      </c>
      <c r="BQ102" s="49" t="inlineStr">
        <is>
          <t>0</t>
        </is>
      </c>
      <c r="BR102" s="49" t="inlineStr">
        <is>
          <t>NO APLICA</t>
        </is>
      </c>
      <c r="BS102" s="49" t="inlineStr">
        <is>
          <t>0</t>
        </is>
      </c>
      <c r="BT102" s="49" t="inlineStr">
        <is>
          <t>NO APLICA</t>
        </is>
      </c>
      <c r="BU102" s="49" t="inlineStr">
        <is>
          <t>0</t>
        </is>
      </c>
      <c r="BV102" s="49" t="inlineStr">
        <is>
          <t>NO APLICA</t>
        </is>
      </c>
      <c r="BW102" s="49" t="inlineStr">
        <is>
          <t>No</t>
        </is>
      </c>
      <c r="BX102" s="49" t="inlineStr">
        <is>
          <t xml:space="preserve">No Aplica                     </t>
        </is>
      </c>
    </row>
    <row r="103" ht="22.5" customHeight="1">
      <c r="A103" s="49" t="n">
        <v>33994809</v>
      </c>
      <c r="B103" s="49" t="inlineStr">
        <is>
          <t>042</t>
        </is>
      </c>
      <c r="C103" s="49" t="n">
        <v>33994809</v>
      </c>
      <c r="D103" s="49" t="inlineStr">
        <is>
          <t>CC</t>
        </is>
      </c>
      <c r="E103" s="49" t="inlineStr">
        <is>
          <t>RANGEL CONDE OLGA</t>
        </is>
      </c>
      <c r="F103" s="49" t="inlineStr">
        <is>
          <t>F</t>
        </is>
      </c>
      <c r="G103" s="49" t="inlineStr">
        <is>
          <t xml:space="preserve">O  </t>
        </is>
      </c>
      <c r="H103" s="49" t="inlineStr">
        <is>
          <t>+</t>
        </is>
      </c>
      <c r="I103" s="49" t="inlineStr">
        <is>
          <t>SOLTERO</t>
        </is>
      </c>
      <c r="J103" s="49" t="inlineStr">
        <is>
          <t xml:space="preserve">ESPINAL                       </t>
        </is>
      </c>
      <c r="K103" s="49" t="n">
        <v>0</v>
      </c>
      <c r="L103" s="49" t="inlineStr">
        <is>
          <t>20/12/1982</t>
        </is>
      </c>
      <c r="M103" s="49" t="inlineStr">
        <is>
          <t xml:space="preserve">SUPIA                         </t>
        </is>
      </c>
      <c r="N103" s="49" t="inlineStr">
        <is>
          <t xml:space="preserve">3113164766          </t>
        </is>
      </c>
      <c r="O103" s="49" t="inlineStr">
        <is>
          <t>3113164766</t>
        </is>
      </c>
      <c r="P103" s="49" t="inlineStr">
        <is>
          <t>CALLE 17 A # 8-53</t>
        </is>
      </c>
      <c r="Q103" s="49" t="inlineStr">
        <is>
          <t>olgarangel1915@gmail.com</t>
        </is>
      </c>
      <c r="R103" s="49" t="inlineStr">
        <is>
          <t>SUPERNUMERARIO DE EXPLORACION</t>
        </is>
      </c>
      <c r="S103" s="108" t="n">
        <v>91.66666600000001</v>
      </c>
      <c r="T103" s="108" t="n">
        <v>0</v>
      </c>
      <c r="U103" s="108" t="n">
        <v>220</v>
      </c>
      <c r="V103" s="49" t="inlineStr">
        <is>
          <t>CONSIG. CTA AHORROS</t>
        </is>
      </c>
      <c r="W103" s="49" t="inlineStr">
        <is>
          <t xml:space="preserve">BANCO DAVIVIENDA S.A.         </t>
        </is>
      </c>
      <c r="X103" s="49" t="inlineStr">
        <is>
          <t xml:space="preserve">488409954796             </t>
        </is>
      </c>
      <c r="Y103" s="49" t="inlineStr">
        <is>
          <t xml:space="preserve">NO APLICA                     </t>
        </is>
      </c>
      <c r="Z103" s="49" t="inlineStr">
        <is>
          <t>CM0100-EXP</t>
        </is>
      </c>
      <c r="AA103" s="49" t="inlineStr">
        <is>
          <t>CM0100-EXP</t>
        </is>
      </c>
      <c r="AB103" s="49" t="inlineStr">
        <is>
          <t xml:space="preserve">01 </t>
        </is>
      </c>
      <c r="AC103" s="49" t="inlineStr">
        <is>
          <t xml:space="preserve">0               </t>
        </is>
      </c>
      <c r="AD103" s="49" t="inlineStr">
        <is>
          <t>LEY 50</t>
        </is>
      </c>
      <c r="AE103" s="49" t="inlineStr">
        <is>
          <t>Si</t>
        </is>
      </c>
      <c r="AF103" s="49" t="inlineStr">
        <is>
          <t>Normal</t>
        </is>
      </c>
      <c r="AG103" s="49" t="n"/>
      <c r="AH103" s="49" t="inlineStr">
        <is>
          <t>Si</t>
        </is>
      </c>
      <c r="AI103" s="49" t="inlineStr">
        <is>
          <t xml:space="preserve">Normal              </t>
        </is>
      </c>
      <c r="AJ103" s="49" t="inlineStr">
        <is>
          <t xml:space="preserve">Quincenal                     </t>
        </is>
      </c>
      <c r="AK103" s="49" t="inlineStr">
        <is>
          <t>NO</t>
        </is>
      </c>
      <c r="AL103" s="49" t="inlineStr">
        <is>
          <t>NO</t>
        </is>
      </c>
      <c r="AM103" s="49" t="inlineStr">
        <is>
          <t>01/11/2022</t>
        </is>
      </c>
      <c r="AN103" s="49" t="n"/>
      <c r="AO103" s="49" t="n"/>
      <c r="AP103" s="49" t="inlineStr">
        <is>
          <t xml:space="preserve">NO APLICA                </t>
        </is>
      </c>
      <c r="AQ103" s="49" t="n">
        <v>37</v>
      </c>
      <c r="AR103" s="49" t="inlineStr">
        <is>
          <t>01</t>
        </is>
      </c>
      <c r="AS103" s="49" t="n">
        <v>1</v>
      </c>
      <c r="AT103" s="49" t="inlineStr">
        <is>
          <t>Si</t>
        </is>
      </c>
      <c r="AU103" s="49" t="n">
        <v>0</v>
      </c>
      <c r="AV103" s="108" t="n">
        <v>0</v>
      </c>
      <c r="AW103" s="108" t="n">
        <v>0</v>
      </c>
      <c r="AX103" s="108" t="n">
        <v>0</v>
      </c>
      <c r="AY103" s="49" t="inlineStr">
        <is>
          <t>No</t>
        </is>
      </c>
      <c r="AZ103" s="49" t="n">
        <v>82415</v>
      </c>
      <c r="BA103" s="49" t="inlineStr">
        <is>
          <t>NUEVA E.P.S</t>
        </is>
      </c>
      <c r="BB103" s="49" t="inlineStr">
        <is>
          <t>PORVENIR A.F.P.</t>
        </is>
      </c>
      <c r="BC103" s="49" t="inlineStr">
        <is>
          <t>CCF DE CALDAS</t>
        </is>
      </c>
      <c r="BD103" s="49" t="inlineStr">
        <is>
          <t>RIESGOS PROFESIONALES COLMENA S.A.</t>
        </is>
      </c>
      <c r="BE103" s="49" t="inlineStr">
        <is>
          <t>PORVENIR CESANTIAS</t>
        </is>
      </c>
      <c r="BF103" s="49" t="n">
        <v>6.96</v>
      </c>
      <c r="BG103" s="49" t="n">
        <v>220</v>
      </c>
      <c r="BH103" s="49" t="n">
        <v>15</v>
      </c>
      <c r="BI103" s="49" t="inlineStr">
        <is>
          <t xml:space="preserve">0           </t>
        </is>
      </c>
      <c r="BJ103" s="49" t="inlineStr">
        <is>
          <t xml:space="preserve">NO APLICA                               </t>
        </is>
      </c>
      <c r="BK103" s="49" t="inlineStr">
        <is>
          <t>02</t>
        </is>
      </c>
      <c r="BL103" s="49" t="inlineStr">
        <is>
          <t xml:space="preserve">Caldas                                  </t>
        </is>
      </c>
      <c r="BM103" s="49" t="inlineStr">
        <is>
          <t>02</t>
        </is>
      </c>
      <c r="BN103" s="49" t="inlineStr">
        <is>
          <t xml:space="preserve">Supia                                   </t>
        </is>
      </c>
      <c r="BO103" s="49" t="inlineStr">
        <is>
          <t>0</t>
        </is>
      </c>
      <c r="BP103" s="49" t="inlineStr">
        <is>
          <t>NO APLICA</t>
        </is>
      </c>
      <c r="BQ103" s="49" t="inlineStr">
        <is>
          <t>0</t>
        </is>
      </c>
      <c r="BR103" s="49" t="inlineStr">
        <is>
          <t>NO APLICA</t>
        </is>
      </c>
      <c r="BS103" s="49" t="inlineStr">
        <is>
          <t>0</t>
        </is>
      </c>
      <c r="BT103" s="49" t="inlineStr">
        <is>
          <t>NO APLICA</t>
        </is>
      </c>
      <c r="BU103" s="49" t="inlineStr">
        <is>
          <t>0</t>
        </is>
      </c>
      <c r="BV103" s="49" t="inlineStr">
        <is>
          <t>NO APLICA</t>
        </is>
      </c>
      <c r="BW103" s="49" t="inlineStr">
        <is>
          <t>No</t>
        </is>
      </c>
      <c r="BX103" s="49" t="inlineStr">
        <is>
          <t xml:space="preserve">No Aplica                     </t>
        </is>
      </c>
    </row>
    <row r="104" ht="37.5" customHeight="1">
      <c r="A104" s="49" t="n">
        <v>37547926</v>
      </c>
      <c r="B104" s="49" t="inlineStr">
        <is>
          <t>048</t>
        </is>
      </c>
      <c r="C104" s="49" t="n">
        <v>37547926</v>
      </c>
      <c r="D104" s="49" t="inlineStr">
        <is>
          <t>CC</t>
        </is>
      </c>
      <c r="E104" s="49" t="inlineStr">
        <is>
          <t>OSPINA SERRANO MARIA JULIANA</t>
        </is>
      </c>
      <c r="F104" s="49" t="inlineStr">
        <is>
          <t>F</t>
        </is>
      </c>
      <c r="G104" s="49" t="inlineStr">
        <is>
          <t xml:space="preserve">A  </t>
        </is>
      </c>
      <c r="H104" s="49" t="inlineStr">
        <is>
          <t>+</t>
        </is>
      </c>
      <c r="I104" s="49" t="inlineStr">
        <is>
          <t>CASADO</t>
        </is>
      </c>
      <c r="J104" s="49" t="inlineStr">
        <is>
          <t xml:space="preserve">BUCARAMANGA                   </t>
        </is>
      </c>
      <c r="K104" s="49" t="n">
        <v>0</v>
      </c>
      <c r="L104" s="49" t="inlineStr">
        <is>
          <t>03/10/1977</t>
        </is>
      </c>
      <c r="M104" s="49" t="inlineStr">
        <is>
          <t xml:space="preserve">BOGOTA                        </t>
        </is>
      </c>
      <c r="N104" s="49" t="inlineStr">
        <is>
          <t xml:space="preserve">NA                  </t>
        </is>
      </c>
      <c r="O104" s="49" t="inlineStr">
        <is>
          <t>3223502087</t>
        </is>
      </c>
      <c r="P104" s="49" t="inlineStr">
        <is>
          <t>CR 43  9 SUR 195</t>
        </is>
      </c>
      <c r="Q104" s="49" t="inlineStr">
        <is>
          <t>M.ospina@collectivemining.com</t>
        </is>
      </c>
      <c r="R104" s="49" t="inlineStr">
        <is>
          <t>VICE PRESIDENT OF EXTERNAL AFFAIRS AND COMMS</t>
        </is>
      </c>
      <c r="S104" s="108" t="n">
        <v>91.66666600000001</v>
      </c>
      <c r="T104" s="108" t="n">
        <v>0</v>
      </c>
      <c r="U104" s="108" t="n">
        <v>220</v>
      </c>
      <c r="V104" s="49" t="inlineStr">
        <is>
          <t>CONSIG. CTA CORRIENTE</t>
        </is>
      </c>
      <c r="W104" s="49" t="inlineStr">
        <is>
          <t xml:space="preserve">BANCOLOMBIA S.A.              </t>
        </is>
      </c>
      <c r="X104" s="49" t="inlineStr">
        <is>
          <t xml:space="preserve">19317578368              </t>
        </is>
      </c>
      <c r="Y104" s="49" t="inlineStr">
        <is>
          <t xml:space="preserve">NO APLICA                     </t>
        </is>
      </c>
      <c r="Z104" s="49" t="inlineStr">
        <is>
          <t>CM0602-XAC</t>
        </is>
      </c>
      <c r="AA104" s="49" t="inlineStr">
        <is>
          <t>CM0602-XAC</t>
        </is>
      </c>
      <c r="AB104" s="49" t="inlineStr">
        <is>
          <t xml:space="preserve">01 </t>
        </is>
      </c>
      <c r="AC104" s="49" t="inlineStr">
        <is>
          <t xml:space="preserve">                </t>
        </is>
      </c>
      <c r="AD104" s="49" t="inlineStr">
        <is>
          <t>LEY 50</t>
        </is>
      </c>
      <c r="AE104" s="49" t="inlineStr">
        <is>
          <t>No</t>
        </is>
      </c>
      <c r="AF104" s="49" t="inlineStr">
        <is>
          <t>Integral</t>
        </is>
      </c>
      <c r="AG104" s="49" t="n"/>
      <c r="AH104" s="49" t="inlineStr">
        <is>
          <t>Si</t>
        </is>
      </c>
      <c r="AI104" s="49" t="inlineStr">
        <is>
          <t xml:space="preserve">Normal              </t>
        </is>
      </c>
      <c r="AJ104" s="49" t="inlineStr">
        <is>
          <t xml:space="preserve">Quincenal                     </t>
        </is>
      </c>
      <c r="AK104" s="49" t="inlineStr">
        <is>
          <t>NO</t>
        </is>
      </c>
      <c r="AL104" s="49" t="inlineStr">
        <is>
          <t>NO</t>
        </is>
      </c>
      <c r="AM104" s="49" t="inlineStr">
        <is>
          <t>01/05/2023</t>
        </is>
      </c>
      <c r="AN104" s="49" t="n"/>
      <c r="AO104" s="49" t="n"/>
      <c r="AP104" s="49" t="inlineStr">
        <is>
          <t xml:space="preserve">NO APLICA                </t>
        </is>
      </c>
      <c r="AQ104" s="49" t="n">
        <v>92</v>
      </c>
      <c r="AR104" s="49" t="inlineStr">
        <is>
          <t>01</t>
        </is>
      </c>
      <c r="AS104" s="49" t="n">
        <v>1</v>
      </c>
      <c r="AT104" s="49" t="inlineStr">
        <is>
          <t>No</t>
        </is>
      </c>
      <c r="AU104" s="49" t="n">
        <v>0</v>
      </c>
      <c r="AV104" s="108" t="n">
        <v>0</v>
      </c>
      <c r="AW104" s="108" t="n">
        <v>1623165</v>
      </c>
      <c r="AX104" s="108" t="n">
        <v>1</v>
      </c>
      <c r="AY104" s="49" t="inlineStr">
        <is>
          <t>No</t>
        </is>
      </c>
      <c r="AZ104" s="49" t="n">
        <v>1120000</v>
      </c>
      <c r="BA104" s="49" t="inlineStr">
        <is>
          <t>SANITAS E.P.S</t>
        </is>
      </c>
      <c r="BB104" s="49" t="inlineStr">
        <is>
          <t>COLPENSIONES - I.S.S. PENSION</t>
        </is>
      </c>
      <c r="BC104" s="49" t="inlineStr">
        <is>
          <t>CCF CAFAM</t>
        </is>
      </c>
      <c r="BD104" s="49" t="inlineStr">
        <is>
          <t>RIESGOS PROFESIONALES COLMENA S.A.</t>
        </is>
      </c>
      <c r="BE104" s="49" t="inlineStr">
        <is>
          <t>N/A NO APLICA</t>
        </is>
      </c>
      <c r="BF104" s="49" t="n">
        <v>6.96</v>
      </c>
      <c r="BG104" s="49" t="n">
        <v>220</v>
      </c>
      <c r="BH104" s="49" t="n">
        <v>15</v>
      </c>
      <c r="BI104" s="49" t="inlineStr">
        <is>
          <t xml:space="preserve">0           </t>
        </is>
      </c>
      <c r="BJ104" s="49" t="inlineStr">
        <is>
          <t xml:space="preserve">NO APLICA                               </t>
        </is>
      </c>
      <c r="BK104" s="49" t="inlineStr">
        <is>
          <t>03</t>
        </is>
      </c>
      <c r="BL104" s="49" t="inlineStr">
        <is>
          <t xml:space="preserve">Otros Lugares                           </t>
        </is>
      </c>
      <c r="BM104" s="49" t="inlineStr">
        <is>
          <t>04</t>
        </is>
      </c>
      <c r="BN104" s="49" t="inlineStr">
        <is>
          <t xml:space="preserve">Otros Lugares                           </t>
        </is>
      </c>
      <c r="BO104" s="49" t="inlineStr">
        <is>
          <t>0</t>
        </is>
      </c>
      <c r="BP104" s="49" t="inlineStr">
        <is>
          <t>NO APLICA</t>
        </is>
      </c>
      <c r="BQ104" s="49" t="inlineStr">
        <is>
          <t>0</t>
        </is>
      </c>
      <c r="BR104" s="49" t="inlineStr">
        <is>
          <t>NO APLICA</t>
        </is>
      </c>
      <c r="BS104" s="49" t="inlineStr">
        <is>
          <t>0</t>
        </is>
      </c>
      <c r="BT104" s="49" t="inlineStr">
        <is>
          <t>NO APLICA</t>
        </is>
      </c>
      <c r="BU104" s="49" t="inlineStr">
        <is>
          <t>0</t>
        </is>
      </c>
      <c r="BV104" s="49" t="inlineStr">
        <is>
          <t>NO APLICA</t>
        </is>
      </c>
      <c r="BW104" s="49" t="inlineStr">
        <is>
          <t>No</t>
        </is>
      </c>
      <c r="BX104" s="49" t="inlineStr">
        <is>
          <t xml:space="preserve">No Aplica                     </t>
        </is>
      </c>
    </row>
    <row r="105" ht="30" customHeight="1">
      <c r="A105" s="49" t="n">
        <v>39178636</v>
      </c>
      <c r="B105" s="49" t="inlineStr">
        <is>
          <t>061</t>
        </is>
      </c>
      <c r="C105" s="49" t="n">
        <v>39178636</v>
      </c>
      <c r="D105" s="49" t="inlineStr">
        <is>
          <t>CC</t>
        </is>
      </c>
      <c r="E105" s="49" t="inlineStr">
        <is>
          <t>GARCIA SANCHEZ MICHELLY</t>
        </is>
      </c>
      <c r="F105" s="49" t="inlineStr">
        <is>
          <t>F</t>
        </is>
      </c>
      <c r="G105" s="49" t="inlineStr">
        <is>
          <t xml:space="preserve">A  </t>
        </is>
      </c>
      <c r="H105" s="49" t="inlineStr">
        <is>
          <t>+</t>
        </is>
      </c>
      <c r="I105" s="49" t="inlineStr">
        <is>
          <t>DESCONOCIDO</t>
        </is>
      </c>
      <c r="J105" s="49" t="inlineStr">
        <is>
          <t xml:space="preserve">MEDELLÍN                      </t>
        </is>
      </c>
      <c r="K105" s="49" t="n">
        <v>0</v>
      </c>
      <c r="L105" s="49" t="inlineStr">
        <is>
          <t>12/11/1983</t>
        </is>
      </c>
      <c r="M105" s="49" t="inlineStr">
        <is>
          <t xml:space="preserve">MEDELLÍN                      </t>
        </is>
      </c>
      <c r="N105" s="49" t="inlineStr">
        <is>
          <t xml:space="preserve">NA                  </t>
        </is>
      </c>
      <c r="O105" s="49" t="inlineStr">
        <is>
          <t>3135528680</t>
        </is>
      </c>
      <c r="P105" s="49" t="inlineStr">
        <is>
          <t xml:space="preserve">Cl 54  86 A  60. BL 14, AP 348 </t>
        </is>
      </c>
      <c r="Q105" s="49" t="inlineStr">
        <is>
          <t>michelli83@hotmail.com</t>
        </is>
      </c>
      <c r="R105" s="49" t="inlineStr">
        <is>
          <t>COORDINADOR  DE TESORERIA Y CONTABILIDAD</t>
        </is>
      </c>
      <c r="S105" s="108" t="n">
        <v>91.66666600000001</v>
      </c>
      <c r="T105" s="108" t="n">
        <v>0</v>
      </c>
      <c r="U105" s="108" t="n">
        <v>220</v>
      </c>
      <c r="V105" s="49" t="inlineStr">
        <is>
          <t>CONSIG. CTA AHORROS</t>
        </is>
      </c>
      <c r="W105" s="49" t="inlineStr">
        <is>
          <t xml:space="preserve">BANCOLOMBIA S.A.              </t>
        </is>
      </c>
      <c r="X105" s="49" t="inlineStr">
        <is>
          <t xml:space="preserve">18639941279              </t>
        </is>
      </c>
      <c r="Y105" s="49" t="inlineStr">
        <is>
          <t xml:space="preserve">NO APLICA                     </t>
        </is>
      </c>
      <c r="Z105" s="49" t="inlineStr">
        <is>
          <t>CM0604-FIN</t>
        </is>
      </c>
      <c r="AA105" s="49" t="inlineStr">
        <is>
          <t>CM0604-FIN</t>
        </is>
      </c>
      <c r="AB105" s="49" t="inlineStr">
        <is>
          <t xml:space="preserve">01 </t>
        </is>
      </c>
      <c r="AC105" s="49" t="inlineStr">
        <is>
          <t xml:space="preserve">                </t>
        </is>
      </c>
      <c r="AD105" s="49" t="inlineStr">
        <is>
          <t>LEY 50</t>
        </is>
      </c>
      <c r="AE105" s="49" t="inlineStr">
        <is>
          <t>No</t>
        </is>
      </c>
      <c r="AF105" s="49" t="inlineStr">
        <is>
          <t>Normal</t>
        </is>
      </c>
      <c r="AG105" s="49" t="n"/>
      <c r="AH105" s="49" t="inlineStr">
        <is>
          <t>Si</t>
        </is>
      </c>
      <c r="AI105" s="49" t="inlineStr">
        <is>
          <t xml:space="preserve">Normal              </t>
        </is>
      </c>
      <c r="AJ105" s="49" t="inlineStr">
        <is>
          <t xml:space="preserve">Quincenal                     </t>
        </is>
      </c>
      <c r="AK105" s="49" t="inlineStr">
        <is>
          <t>NO</t>
        </is>
      </c>
      <c r="AL105" s="49" t="inlineStr">
        <is>
          <t>NO</t>
        </is>
      </c>
      <c r="AM105" s="49" t="inlineStr">
        <is>
          <t>09/08/2023</t>
        </is>
      </c>
      <c r="AN105" s="49" t="n"/>
      <c r="AO105" s="49" t="n"/>
      <c r="AP105" s="49" t="inlineStr">
        <is>
          <t xml:space="preserve">NO APLICA                </t>
        </is>
      </c>
      <c r="AQ105" s="49" t="n">
        <v>106</v>
      </c>
      <c r="AR105" s="49" t="inlineStr">
        <is>
          <t>01</t>
        </is>
      </c>
      <c r="AS105" s="49" t="n">
        <v>1</v>
      </c>
      <c r="AT105" s="49" t="inlineStr">
        <is>
          <t>No</t>
        </is>
      </c>
      <c r="AU105" s="49" t="n">
        <v>0</v>
      </c>
      <c r="AV105" s="108" t="n">
        <v>0</v>
      </c>
      <c r="AW105" s="108" t="n">
        <v>0</v>
      </c>
      <c r="AX105" s="108" t="n">
        <v>0</v>
      </c>
      <c r="AY105" s="49" t="inlineStr">
        <is>
          <t>No</t>
        </is>
      </c>
      <c r="AZ105" s="49" t="n">
        <v>144957</v>
      </c>
      <c r="BA105" s="49" t="inlineStr">
        <is>
          <t>SALUD TOTAL E.P.S.</t>
        </is>
      </c>
      <c r="BB105" s="49" t="inlineStr">
        <is>
          <t>PORVENIR A.F.P.</t>
        </is>
      </c>
      <c r="BC105" s="49" t="inlineStr">
        <is>
          <t>CCF COMFENALCO ANTIOQUIA</t>
        </is>
      </c>
      <c r="BD105" s="49" t="inlineStr">
        <is>
          <t>RIESGOS PROFESIONALES COLMENA S.A.</t>
        </is>
      </c>
      <c r="BE105" s="49" t="inlineStr">
        <is>
          <t>PORVENIR CESANTIAS</t>
        </is>
      </c>
      <c r="BF105" s="49" t="n">
        <v>0.522</v>
      </c>
      <c r="BG105" s="49" t="n">
        <v>220</v>
      </c>
      <c r="BH105" s="49" t="n">
        <v>15</v>
      </c>
      <c r="BI105" s="49" t="inlineStr">
        <is>
          <t xml:space="preserve">0           </t>
        </is>
      </c>
      <c r="BJ105" s="49" t="inlineStr">
        <is>
          <t xml:space="preserve">NO APLICA                               </t>
        </is>
      </c>
      <c r="BK105" s="49" t="inlineStr">
        <is>
          <t>01</t>
        </is>
      </c>
      <c r="BL105" s="49" t="inlineStr">
        <is>
          <t xml:space="preserve">Antioquia                               </t>
        </is>
      </c>
      <c r="BM105" s="49" t="inlineStr">
        <is>
          <t>04</t>
        </is>
      </c>
      <c r="BN105" s="49" t="inlineStr">
        <is>
          <t xml:space="preserve">Otros Lugares                           </t>
        </is>
      </c>
      <c r="BO105" s="49" t="inlineStr">
        <is>
          <t>0</t>
        </is>
      </c>
      <c r="BP105" s="49" t="inlineStr">
        <is>
          <t>NO APLICA</t>
        </is>
      </c>
      <c r="BQ105" s="49" t="inlineStr">
        <is>
          <t>0</t>
        </is>
      </c>
      <c r="BR105" s="49" t="inlineStr">
        <is>
          <t>NO APLICA</t>
        </is>
      </c>
      <c r="BS105" s="49" t="inlineStr">
        <is>
          <t>0</t>
        </is>
      </c>
      <c r="BT105" s="49" t="inlineStr">
        <is>
          <t>NO APLICA</t>
        </is>
      </c>
      <c r="BU105" s="49" t="inlineStr">
        <is>
          <t>0</t>
        </is>
      </c>
      <c r="BV105" s="49" t="inlineStr">
        <is>
          <t>NO APLICA</t>
        </is>
      </c>
      <c r="BW105" s="49" t="inlineStr">
        <is>
          <t>No</t>
        </is>
      </c>
      <c r="BX105" s="49" t="inlineStr">
        <is>
          <t xml:space="preserve">No Aplica                     </t>
        </is>
      </c>
    </row>
    <row r="106" ht="22.5" customHeight="1">
      <c r="A106" s="49" t="n">
        <v>56098617</v>
      </c>
      <c r="B106" s="49" t="inlineStr">
        <is>
          <t>066</t>
        </is>
      </c>
      <c r="C106" s="49" t="n">
        <v>56098617</v>
      </c>
      <c r="D106" s="49" t="inlineStr">
        <is>
          <t>CC</t>
        </is>
      </c>
      <c r="E106" s="49" t="inlineStr">
        <is>
          <t>CORZO CONTRERAS MARIA ANGELICA</t>
        </is>
      </c>
      <c r="F106" s="49" t="inlineStr">
        <is>
          <t>F</t>
        </is>
      </c>
      <c r="G106" s="49" t="inlineStr">
        <is>
          <t xml:space="preserve">B  </t>
        </is>
      </c>
      <c r="H106" s="49" t="inlineStr">
        <is>
          <t>+</t>
        </is>
      </c>
      <c r="I106" s="49" t="inlineStr">
        <is>
          <t>DESCONOCIDO</t>
        </is>
      </c>
      <c r="J106" s="49" t="inlineStr">
        <is>
          <t xml:space="preserve">VILLANUEVA                    </t>
        </is>
      </c>
      <c r="K106" s="49" t="n">
        <v>0</v>
      </c>
      <c r="L106" s="49" t="inlineStr">
        <is>
          <t>04/04/1982</t>
        </is>
      </c>
      <c r="M106" s="49" t="inlineStr">
        <is>
          <t xml:space="preserve">SUPIA                         </t>
        </is>
      </c>
      <c r="N106" s="49" t="inlineStr">
        <is>
          <t xml:space="preserve">0                   </t>
        </is>
      </c>
      <c r="O106" s="49" t="inlineStr">
        <is>
          <t>3173649162</t>
        </is>
      </c>
      <c r="P106" s="49" t="inlineStr">
        <is>
          <t>CL 8 84 f 190</t>
        </is>
      </c>
      <c r="Q106" s="49" t="inlineStr">
        <is>
          <t>mariaangelicacorzo@hotmail.com</t>
        </is>
      </c>
      <c r="R106" s="49" t="inlineStr">
        <is>
          <t>COORDINADOR GESTION SOCIAL</t>
        </is>
      </c>
      <c r="S106" s="108" t="n">
        <v>91.66666600000001</v>
      </c>
      <c r="T106" s="108" t="n">
        <v>0</v>
      </c>
      <c r="U106" s="108" t="n">
        <v>220</v>
      </c>
      <c r="V106" s="49" t="inlineStr">
        <is>
          <t>CONSIG. CTA AHORROS</t>
        </is>
      </c>
      <c r="W106" s="49" t="inlineStr">
        <is>
          <t xml:space="preserve">BANCO DAVIVIENDA S.A.         </t>
        </is>
      </c>
      <c r="X106" s="49" t="inlineStr">
        <is>
          <t xml:space="preserve">0550488446610336         </t>
        </is>
      </c>
      <c r="Y106" s="49" t="inlineStr">
        <is>
          <t xml:space="preserve">NO APLICA                     </t>
        </is>
      </c>
      <c r="Z106" s="49" t="inlineStr">
        <is>
          <t>CM0201-ESG</t>
        </is>
      </c>
      <c r="AA106" s="49" t="inlineStr">
        <is>
          <t>CM0201-ESGSOC</t>
        </is>
      </c>
      <c r="AB106" s="49" t="inlineStr">
        <is>
          <t xml:space="preserve">01 </t>
        </is>
      </c>
      <c r="AC106" s="49" t="inlineStr">
        <is>
          <t xml:space="preserve">                </t>
        </is>
      </c>
      <c r="AD106" s="49" t="inlineStr">
        <is>
          <t>LEY 50</t>
        </is>
      </c>
      <c r="AE106" s="49" t="inlineStr">
        <is>
          <t>No</t>
        </is>
      </c>
      <c r="AF106" s="49" t="inlineStr">
        <is>
          <t>Normal</t>
        </is>
      </c>
      <c r="AG106" s="49" t="n"/>
      <c r="AH106" s="49" t="inlineStr">
        <is>
          <t>Si</t>
        </is>
      </c>
      <c r="AI106" s="49" t="inlineStr">
        <is>
          <t xml:space="preserve">Normal              </t>
        </is>
      </c>
      <c r="AJ106" s="49" t="inlineStr">
        <is>
          <t xml:space="preserve">Quincenal                     </t>
        </is>
      </c>
      <c r="AK106" s="49" t="inlineStr">
        <is>
          <t>NO</t>
        </is>
      </c>
      <c r="AL106" s="49" t="inlineStr">
        <is>
          <t>NO</t>
        </is>
      </c>
      <c r="AM106" s="49" t="inlineStr">
        <is>
          <t>15/04/2024</t>
        </is>
      </c>
      <c r="AN106" s="49" t="n"/>
      <c r="AO106" s="49" t="n"/>
      <c r="AP106" s="49" t="inlineStr">
        <is>
          <t xml:space="preserve">NO APLICA                </t>
        </is>
      </c>
      <c r="AQ106" s="49" t="n">
        <v>117</v>
      </c>
      <c r="AR106" s="49" t="inlineStr">
        <is>
          <t>01</t>
        </is>
      </c>
      <c r="AS106" s="49" t="n">
        <v>1</v>
      </c>
      <c r="AT106" s="49" t="inlineStr">
        <is>
          <t>No</t>
        </is>
      </c>
      <c r="AU106" s="49" t="n">
        <v>0</v>
      </c>
      <c r="AV106" s="108" t="n">
        <v>0</v>
      </c>
      <c r="AW106" s="108" t="n">
        <v>0</v>
      </c>
      <c r="AX106" s="108" t="n">
        <v>0</v>
      </c>
      <c r="AY106" s="49" t="inlineStr">
        <is>
          <t>No</t>
        </is>
      </c>
      <c r="AZ106" s="49" t="n">
        <v>235356</v>
      </c>
      <c r="BA106" s="49" t="inlineStr">
        <is>
          <t>SANITAS E.P.S</t>
        </is>
      </c>
      <c r="BB106" s="49" t="inlineStr">
        <is>
          <t>COLPENSIONES - I.S.S. PENSION</t>
        </is>
      </c>
      <c r="BC106" s="49" t="inlineStr">
        <is>
          <t>CCF DE CALDAS</t>
        </is>
      </c>
      <c r="BD106" s="49" t="inlineStr">
        <is>
          <t>RIESGOS PROFESIONALES COLMENA S.A.</t>
        </is>
      </c>
      <c r="BE106" s="49" t="inlineStr">
        <is>
          <t>PORVENIR CESANTIAS</t>
        </is>
      </c>
      <c r="BF106" s="49" t="n">
        <v>6.96</v>
      </c>
      <c r="BG106" s="49" t="n">
        <v>220</v>
      </c>
      <c r="BH106" s="49" t="n">
        <v>15</v>
      </c>
      <c r="BI106" s="49" t="inlineStr">
        <is>
          <t xml:space="preserve">0           </t>
        </is>
      </c>
      <c r="BJ106" s="49" t="inlineStr">
        <is>
          <t xml:space="preserve">NO APLICA                               </t>
        </is>
      </c>
      <c r="BK106" s="49" t="inlineStr">
        <is>
          <t>02</t>
        </is>
      </c>
      <c r="BL106" s="49" t="inlineStr">
        <is>
          <t xml:space="preserve">Caldas                                  </t>
        </is>
      </c>
      <c r="BM106" s="49" t="inlineStr">
        <is>
          <t>02</t>
        </is>
      </c>
      <c r="BN106" s="49" t="inlineStr">
        <is>
          <t xml:space="preserve">Supia                                   </t>
        </is>
      </c>
      <c r="BO106" s="49" t="inlineStr">
        <is>
          <t>0</t>
        </is>
      </c>
      <c r="BP106" s="49" t="inlineStr">
        <is>
          <t>NO APLICA</t>
        </is>
      </c>
      <c r="BQ106" s="49" t="inlineStr">
        <is>
          <t>0</t>
        </is>
      </c>
      <c r="BR106" s="49" t="inlineStr">
        <is>
          <t>NO APLICA</t>
        </is>
      </c>
      <c r="BS106" s="49" t="inlineStr">
        <is>
          <t>0</t>
        </is>
      </c>
      <c r="BT106" s="49" t="inlineStr">
        <is>
          <t>NO APLICA</t>
        </is>
      </c>
      <c r="BU106" s="49" t="inlineStr">
        <is>
          <t>0</t>
        </is>
      </c>
      <c r="BV106" s="49" t="inlineStr">
        <is>
          <t>NO APLICA</t>
        </is>
      </c>
      <c r="BW106" s="49" t="inlineStr">
        <is>
          <t>No</t>
        </is>
      </c>
      <c r="BX106" s="49" t="inlineStr">
        <is>
          <t xml:space="preserve">No Aplica                     </t>
        </is>
      </c>
    </row>
    <row r="107" ht="15" customHeight="1">
      <c r="A107" s="49" t="n">
        <v>5916737</v>
      </c>
      <c r="B107" s="49" t="inlineStr">
        <is>
          <t>016</t>
        </is>
      </c>
      <c r="C107" s="49" t="n">
        <v>5916737</v>
      </c>
      <c r="D107" s="49" t="inlineStr">
        <is>
          <t>CC</t>
        </is>
      </c>
      <c r="E107" s="49" t="inlineStr">
        <is>
          <t>CARDENAS MARTIN ROBINSON LEONARDO</t>
        </is>
      </c>
      <c r="F107" s="49" t="inlineStr">
        <is>
          <t>M</t>
        </is>
      </c>
      <c r="G107" s="49" t="inlineStr">
        <is>
          <t xml:space="preserve">O  </t>
        </is>
      </c>
      <c r="H107" s="49" t="inlineStr">
        <is>
          <t>+</t>
        </is>
      </c>
      <c r="I107" s="49" t="inlineStr">
        <is>
          <t>SOLTERO</t>
        </is>
      </c>
      <c r="J107" s="49" t="inlineStr">
        <is>
          <t xml:space="preserve">FRESNO                        </t>
        </is>
      </c>
      <c r="K107" s="49" t="n">
        <v>0</v>
      </c>
      <c r="L107" s="49" t="inlineStr">
        <is>
          <t>01/04/1979</t>
        </is>
      </c>
      <c r="M107" s="49" t="inlineStr">
        <is>
          <t xml:space="preserve">MEDELLÍN                      </t>
        </is>
      </c>
      <c r="N107" s="49" t="inlineStr">
        <is>
          <t xml:space="preserve">3114347327          </t>
        </is>
      </c>
      <c r="O107" s="49" t="inlineStr">
        <is>
          <t>3114347327</t>
        </is>
      </c>
      <c r="P107" s="49" t="inlineStr">
        <is>
          <t>Calle 4 No 14 13</t>
        </is>
      </c>
      <c r="Q107" s="49" t="inlineStr">
        <is>
          <t>robinsoncardenas77@gmail.com</t>
        </is>
      </c>
      <c r="R107" s="49" t="inlineStr">
        <is>
          <t>GERENTE DE PROTECCION</t>
        </is>
      </c>
      <c r="S107" s="108" t="n">
        <v>91.66666600000001</v>
      </c>
      <c r="T107" s="108" t="n">
        <v>0</v>
      </c>
      <c r="U107" s="108" t="n">
        <v>220</v>
      </c>
      <c r="V107" s="49" t="inlineStr">
        <is>
          <t>CONSIG. CTA AHORROS</t>
        </is>
      </c>
      <c r="W107" s="49" t="inlineStr">
        <is>
          <t xml:space="preserve">BANCOLOMBIA S.A.              </t>
        </is>
      </c>
      <c r="X107" s="49" t="inlineStr">
        <is>
          <t xml:space="preserve">54952817771              </t>
        </is>
      </c>
      <c r="Y107" s="49" t="inlineStr">
        <is>
          <t xml:space="preserve">NO APLICA                     </t>
        </is>
      </c>
      <c r="Z107" s="49" t="inlineStr">
        <is>
          <t>CM0400-PRO</t>
        </is>
      </c>
      <c r="AA107" s="49" t="inlineStr">
        <is>
          <t>CM0400-PRO</t>
        </is>
      </c>
      <c r="AB107" s="49" t="inlineStr">
        <is>
          <t xml:space="preserve">01 </t>
        </is>
      </c>
      <c r="AC107" s="49" t="inlineStr">
        <is>
          <t xml:space="preserve">0               </t>
        </is>
      </c>
      <c r="AD107" s="49" t="inlineStr">
        <is>
          <t>LEY 50</t>
        </is>
      </c>
      <c r="AE107" s="49" t="inlineStr">
        <is>
          <t>No</t>
        </is>
      </c>
      <c r="AF107" s="49" t="inlineStr">
        <is>
          <t>Integral</t>
        </is>
      </c>
      <c r="AG107" s="49" t="n"/>
      <c r="AH107" s="49" t="inlineStr">
        <is>
          <t>Si</t>
        </is>
      </c>
      <c r="AI107" s="49" t="inlineStr">
        <is>
          <t xml:space="preserve">Normal              </t>
        </is>
      </c>
      <c r="AJ107" s="49" t="inlineStr">
        <is>
          <t xml:space="preserve">Quincenal                     </t>
        </is>
      </c>
      <c r="AK107" s="49" t="inlineStr">
        <is>
          <t>NO</t>
        </is>
      </c>
      <c r="AL107" s="49" t="inlineStr">
        <is>
          <t>NO</t>
        </is>
      </c>
      <c r="AM107" s="49" t="inlineStr">
        <is>
          <t>09/08/2021</t>
        </is>
      </c>
      <c r="AN107" s="49" t="n"/>
      <c r="AO107" s="49" t="n"/>
      <c r="AP107" s="49" t="inlineStr">
        <is>
          <t xml:space="preserve">NO APLICA                </t>
        </is>
      </c>
      <c r="AQ107" s="49" t="n">
        <v>68</v>
      </c>
      <c r="AR107" s="49" t="inlineStr">
        <is>
          <t>01</t>
        </is>
      </c>
      <c r="AS107" s="49" t="n">
        <v>1</v>
      </c>
      <c r="AT107" s="49" t="inlineStr">
        <is>
          <t>No</t>
        </is>
      </c>
      <c r="AU107" s="49" t="n">
        <v>0</v>
      </c>
      <c r="AV107" s="108" t="n">
        <v>0</v>
      </c>
      <c r="AW107" s="108" t="n">
        <v>0</v>
      </c>
      <c r="AX107" s="108" t="n">
        <v>0</v>
      </c>
      <c r="AY107" s="49" t="inlineStr">
        <is>
          <t>No</t>
        </is>
      </c>
      <c r="AZ107" s="49" t="n">
        <v>561768</v>
      </c>
      <c r="BA107" s="49" t="inlineStr">
        <is>
          <t>FOSYGA</t>
        </is>
      </c>
      <c r="BB107" s="49" t="inlineStr">
        <is>
          <t>PROTECCION A.F.P</t>
        </is>
      </c>
      <c r="BC107" s="49" t="inlineStr">
        <is>
          <t>CCF COMFENALCO ANTIOQUIA</t>
        </is>
      </c>
      <c r="BD107" s="49" t="inlineStr">
        <is>
          <t>RIESGOS PROFESIONALES COLMENA S.A.</t>
        </is>
      </c>
      <c r="BE107" s="49" t="inlineStr">
        <is>
          <t>PORVENIR CESANTIAS</t>
        </is>
      </c>
      <c r="BF107" s="49" t="n">
        <v>6.96</v>
      </c>
      <c r="BG107" s="49" t="n">
        <v>220</v>
      </c>
      <c r="BH107" s="49" t="n">
        <v>15</v>
      </c>
      <c r="BI107" s="49" t="inlineStr">
        <is>
          <t xml:space="preserve">0           </t>
        </is>
      </c>
      <c r="BJ107" s="49" t="inlineStr">
        <is>
          <t xml:space="preserve">NO APLICA                               </t>
        </is>
      </c>
      <c r="BK107" s="49" t="inlineStr">
        <is>
          <t>02</t>
        </is>
      </c>
      <c r="BL107" s="49" t="inlineStr">
        <is>
          <t xml:space="preserve">Caldas                                  </t>
        </is>
      </c>
      <c r="BM107" s="49" t="inlineStr">
        <is>
          <t>02</t>
        </is>
      </c>
      <c r="BN107" s="49" t="inlineStr">
        <is>
          <t xml:space="preserve">Supia                                   </t>
        </is>
      </c>
      <c r="BO107" s="49" t="inlineStr">
        <is>
          <t>0</t>
        </is>
      </c>
      <c r="BP107" s="49" t="inlineStr">
        <is>
          <t>NO APLICA</t>
        </is>
      </c>
      <c r="BQ107" s="49" t="inlineStr">
        <is>
          <t>0</t>
        </is>
      </c>
      <c r="BR107" s="49" t="inlineStr">
        <is>
          <t>NO APLICA</t>
        </is>
      </c>
      <c r="BS107" s="49" t="inlineStr">
        <is>
          <t>0</t>
        </is>
      </c>
      <c r="BT107" s="49" t="inlineStr">
        <is>
          <t>NO APLICA</t>
        </is>
      </c>
      <c r="BU107" s="49" t="inlineStr">
        <is>
          <t>0</t>
        </is>
      </c>
      <c r="BV107" s="49" t="inlineStr">
        <is>
          <t>NO APLICA</t>
        </is>
      </c>
      <c r="BW107" s="49" t="inlineStr">
        <is>
          <t>No</t>
        </is>
      </c>
      <c r="BX107" s="49" t="inlineStr">
        <is>
          <t xml:space="preserve">No Aplica                     </t>
        </is>
      </c>
    </row>
    <row r="108" ht="22.5" customHeight="1">
      <c r="A108" s="49" t="n">
        <v>63548653</v>
      </c>
      <c r="B108" s="49" t="inlineStr">
        <is>
          <t>002</t>
        </is>
      </c>
      <c r="C108" s="49" t="n">
        <v>63548653</v>
      </c>
      <c r="D108" s="49" t="inlineStr">
        <is>
          <t>CC</t>
        </is>
      </c>
      <c r="E108" s="49" t="inlineStr">
        <is>
          <t>HERNANDEZ ARIAS NATALIA ANDREA</t>
        </is>
      </c>
      <c r="F108" s="49" t="inlineStr">
        <is>
          <t>F</t>
        </is>
      </c>
      <c r="G108" s="49" t="inlineStr">
        <is>
          <t xml:space="preserve">O  </t>
        </is>
      </c>
      <c r="H108" s="49" t="inlineStr">
        <is>
          <t>+</t>
        </is>
      </c>
      <c r="I108" s="49" t="inlineStr">
        <is>
          <t>UNION LIBRE</t>
        </is>
      </c>
      <c r="J108" s="49" t="inlineStr">
        <is>
          <t xml:space="preserve">BUCARAMANGA                   </t>
        </is>
      </c>
      <c r="K108" s="49" t="n">
        <v>0</v>
      </c>
      <c r="L108" s="49" t="inlineStr">
        <is>
          <t>12/04/1984</t>
        </is>
      </c>
      <c r="M108" s="49" t="inlineStr">
        <is>
          <t xml:space="preserve">MEDELLÍN                      </t>
        </is>
      </c>
      <c r="N108" s="49" t="inlineStr">
        <is>
          <t xml:space="preserve">3164618819          </t>
        </is>
      </c>
      <c r="O108" s="49" t="inlineStr">
        <is>
          <t>3164618819</t>
        </is>
      </c>
      <c r="P108" s="49" t="inlineStr">
        <is>
          <t xml:space="preserve">CL 6 16 14 APT 2102                     </t>
        </is>
      </c>
      <c r="Q108" s="49" t="inlineStr">
        <is>
          <t>nataliahernandez12@gmail.com</t>
        </is>
      </c>
      <c r="R108" s="49" t="inlineStr">
        <is>
          <t xml:space="preserve"> LEGAL AND RRHH SENIOR MANAGER</t>
        </is>
      </c>
      <c r="S108" s="108" t="n">
        <v>91.66666600000001</v>
      </c>
      <c r="T108" s="108" t="n">
        <v>0</v>
      </c>
      <c r="U108" s="108" t="n">
        <v>220</v>
      </c>
      <c r="V108" s="49" t="inlineStr">
        <is>
          <t>CONSIG. CTA AHORROS</t>
        </is>
      </c>
      <c r="W108" s="49" t="inlineStr">
        <is>
          <t xml:space="preserve">BANCOLOMBIA S.A.              </t>
        </is>
      </c>
      <c r="X108" s="49" t="inlineStr">
        <is>
          <t xml:space="preserve">08951777375              </t>
        </is>
      </c>
      <c r="Y108" s="49" t="inlineStr">
        <is>
          <t xml:space="preserve">NO APLICA                     </t>
        </is>
      </c>
      <c r="Z108" s="49" t="inlineStr">
        <is>
          <t>CM0603-LEG</t>
        </is>
      </c>
      <c r="AA108" s="49" t="inlineStr">
        <is>
          <t>CM0603-LEG</t>
        </is>
      </c>
      <c r="AB108" s="49" t="inlineStr">
        <is>
          <t xml:space="preserve">01 </t>
        </is>
      </c>
      <c r="AC108" s="49" t="inlineStr">
        <is>
          <t xml:space="preserve">0               </t>
        </is>
      </c>
      <c r="AD108" s="49" t="inlineStr">
        <is>
          <t>LEY 50</t>
        </is>
      </c>
      <c r="AE108" s="49" t="inlineStr">
        <is>
          <t>No</t>
        </is>
      </c>
      <c r="AF108" s="49" t="inlineStr">
        <is>
          <t>Integral</t>
        </is>
      </c>
      <c r="AG108" s="49" t="n"/>
      <c r="AH108" s="49" t="inlineStr">
        <is>
          <t>Si</t>
        </is>
      </c>
      <c r="AI108" s="49" t="inlineStr">
        <is>
          <t xml:space="preserve">Normal              </t>
        </is>
      </c>
      <c r="AJ108" s="49" t="inlineStr">
        <is>
          <t xml:space="preserve">Quincenal                     </t>
        </is>
      </c>
      <c r="AK108" s="49" t="inlineStr">
        <is>
          <t>NO</t>
        </is>
      </c>
      <c r="AL108" s="49" t="inlineStr">
        <is>
          <t>NO</t>
        </is>
      </c>
      <c r="AM108" s="49" t="inlineStr">
        <is>
          <t>15/08/2020</t>
        </is>
      </c>
      <c r="AN108" s="49" t="n"/>
      <c r="AO108" s="49" t="n"/>
      <c r="AP108" s="49" t="inlineStr">
        <is>
          <t xml:space="preserve">NO APLICA                </t>
        </is>
      </c>
      <c r="AQ108" s="49" t="n">
        <v>69</v>
      </c>
      <c r="AR108" s="49" t="inlineStr">
        <is>
          <t>01</t>
        </is>
      </c>
      <c r="AS108" s="49" t="n">
        <v>1</v>
      </c>
      <c r="AT108" s="49" t="inlineStr">
        <is>
          <t>No</t>
        </is>
      </c>
      <c r="AU108" s="49" t="n">
        <v>0</v>
      </c>
      <c r="AV108" s="108" t="n">
        <v>0</v>
      </c>
      <c r="AW108" s="108" t="n">
        <v>393821</v>
      </c>
      <c r="AX108" s="108" t="n">
        <v>0</v>
      </c>
      <c r="AY108" s="49" t="inlineStr">
        <is>
          <t>No</t>
        </is>
      </c>
      <c r="AZ108" s="49" t="n">
        <v>544034</v>
      </c>
      <c r="BA108" s="49" t="inlineStr">
        <is>
          <t>SURA E.P.S.</t>
        </is>
      </c>
      <c r="BB108" s="49" t="inlineStr">
        <is>
          <t>COLPENSIONES - I.S.S. PENSION</t>
        </is>
      </c>
      <c r="BC108" s="49" t="inlineStr">
        <is>
          <t>CCF DE CALDAS</t>
        </is>
      </c>
      <c r="BD108" s="49" t="inlineStr">
        <is>
          <t>RIESGOS PROFESIONALES COLMENA S.A.</t>
        </is>
      </c>
      <c r="BE108" s="49" t="inlineStr">
        <is>
          <t>PROTECCION CESANTIAS</t>
        </is>
      </c>
      <c r="BF108" s="49" t="n">
        <v>0.522</v>
      </c>
      <c r="BG108" s="49" t="n">
        <v>220</v>
      </c>
      <c r="BH108" s="49" t="n">
        <v>15</v>
      </c>
      <c r="BI108" s="49" t="inlineStr">
        <is>
          <t xml:space="preserve">0           </t>
        </is>
      </c>
      <c r="BJ108" s="49" t="inlineStr">
        <is>
          <t xml:space="preserve">NO APLICA                               </t>
        </is>
      </c>
      <c r="BK108" s="49" t="inlineStr">
        <is>
          <t>01</t>
        </is>
      </c>
      <c r="BL108" s="49" t="inlineStr">
        <is>
          <t xml:space="preserve">Antioquia                               </t>
        </is>
      </c>
      <c r="BM108" s="49" t="inlineStr">
        <is>
          <t>04</t>
        </is>
      </c>
      <c r="BN108" s="49" t="inlineStr">
        <is>
          <t xml:space="preserve">Otros Lugares                           </t>
        </is>
      </c>
      <c r="BO108" s="49" t="inlineStr">
        <is>
          <t>0</t>
        </is>
      </c>
      <c r="BP108" s="49" t="inlineStr">
        <is>
          <t>NO APLICA</t>
        </is>
      </c>
      <c r="BQ108" s="49" t="inlineStr">
        <is>
          <t>0</t>
        </is>
      </c>
      <c r="BR108" s="49" t="inlineStr">
        <is>
          <t>NO APLICA</t>
        </is>
      </c>
      <c r="BS108" s="49" t="inlineStr">
        <is>
          <t>0</t>
        </is>
      </c>
      <c r="BT108" s="49" t="inlineStr">
        <is>
          <t>NO APLICA</t>
        </is>
      </c>
      <c r="BU108" s="49" t="inlineStr">
        <is>
          <t>0</t>
        </is>
      </c>
      <c r="BV108" s="49" t="inlineStr">
        <is>
          <t>NO APLICA</t>
        </is>
      </c>
      <c r="BW108" s="49" t="inlineStr">
        <is>
          <t>No</t>
        </is>
      </c>
      <c r="BX108" s="49" t="inlineStr">
        <is>
          <t xml:space="preserve">No Aplica                     </t>
        </is>
      </c>
    </row>
    <row r="109" ht="22.5" customHeight="1">
      <c r="A109" s="49" t="n">
        <v>6615269</v>
      </c>
      <c r="B109" s="49" t="inlineStr">
        <is>
          <t xml:space="preserve"> 161</t>
        </is>
      </c>
      <c r="C109" s="49" t="n">
        <v>6615269</v>
      </c>
      <c r="D109" s="49" t="inlineStr">
        <is>
          <t>CE</t>
        </is>
      </c>
      <c r="E109" s="49" t="inlineStr">
        <is>
          <t>OROPEZA MENDOZA VICTOR MANUEL</t>
        </is>
      </c>
      <c r="F109" s="49" t="inlineStr">
        <is>
          <t>M</t>
        </is>
      </c>
      <c r="G109" s="49" t="inlineStr">
        <is>
          <t xml:space="preserve">A  </t>
        </is>
      </c>
      <c r="H109" s="49" t="inlineStr">
        <is>
          <t>+</t>
        </is>
      </c>
      <c r="I109" s="49" t="inlineStr">
        <is>
          <t>CASADO</t>
        </is>
      </c>
      <c r="J109" s="49" t="inlineStr">
        <is>
          <t xml:space="preserve">BOGOTA                        </t>
        </is>
      </c>
      <c r="K109" s="49" t="n">
        <v>0</v>
      </c>
      <c r="L109" s="49" t="inlineStr">
        <is>
          <t>08/09/1985</t>
        </is>
      </c>
      <c r="M109" s="49" t="inlineStr">
        <is>
          <t xml:space="preserve">MEDELLÍN                      </t>
        </is>
      </c>
      <c r="N109" s="49" t="inlineStr">
        <is>
          <t xml:space="preserve">0000                </t>
        </is>
      </c>
      <c r="O109" s="49" t="inlineStr">
        <is>
          <t>3115501451</t>
        </is>
      </c>
      <c r="P109" s="49" t="inlineStr">
        <is>
          <t>CL 49E  83A  196 Conjunto Residencial Sol Naciente, Torre 4 Ap 514</t>
        </is>
      </c>
      <c r="Q109" s="49" t="inlineStr">
        <is>
          <t>victor.m.oropeza@gmail.com</t>
        </is>
      </c>
      <c r="R109" s="49" t="inlineStr">
        <is>
          <t>ASSISTANT CONTROLLER</t>
        </is>
      </c>
      <c r="S109" s="108" t="n">
        <v>91.66666600000001</v>
      </c>
      <c r="T109" s="108" t="n">
        <v>0</v>
      </c>
      <c r="U109" s="108" t="n">
        <v>220</v>
      </c>
      <c r="V109" s="49" t="inlineStr">
        <is>
          <t>CONSIG. CTA AHORROS</t>
        </is>
      </c>
      <c r="W109" s="49" t="inlineStr">
        <is>
          <t xml:space="preserve">BANCOLOMBIA S.A.              </t>
        </is>
      </c>
      <c r="X109" s="49" t="inlineStr">
        <is>
          <t xml:space="preserve">00990857199              </t>
        </is>
      </c>
      <c r="Y109" s="49" t="inlineStr">
        <is>
          <t xml:space="preserve">NO APLICA                     </t>
        </is>
      </c>
      <c r="Z109" s="49" t="inlineStr">
        <is>
          <t>CM0604-FIN</t>
        </is>
      </c>
      <c r="AA109" s="49" t="inlineStr">
        <is>
          <t>CM0604-FIN</t>
        </is>
      </c>
      <c r="AB109" s="49" t="inlineStr">
        <is>
          <t xml:space="preserve">01 </t>
        </is>
      </c>
      <c r="AC109" s="49" t="inlineStr">
        <is>
          <t xml:space="preserve">                </t>
        </is>
      </c>
      <c r="AD109" s="49" t="inlineStr">
        <is>
          <t>LEY 50</t>
        </is>
      </c>
      <c r="AE109" s="49" t="inlineStr">
        <is>
          <t>No</t>
        </is>
      </c>
      <c r="AF109" s="49" t="inlineStr">
        <is>
          <t>Normal</t>
        </is>
      </c>
      <c r="AG109" s="49" t="n"/>
      <c r="AH109" s="49" t="inlineStr">
        <is>
          <t>Si</t>
        </is>
      </c>
      <c r="AI109" s="49" t="inlineStr">
        <is>
          <t xml:space="preserve">Normal              </t>
        </is>
      </c>
      <c r="AJ109" s="49" t="inlineStr">
        <is>
          <t xml:space="preserve">Quincenal                     </t>
        </is>
      </c>
      <c r="AK109" s="49" t="inlineStr">
        <is>
          <t>NO</t>
        </is>
      </c>
      <c r="AL109" s="49" t="inlineStr">
        <is>
          <t>NO</t>
        </is>
      </c>
      <c r="AM109" s="49" t="inlineStr">
        <is>
          <t>26/01/2026</t>
        </is>
      </c>
      <c r="AN109" s="49" t="n"/>
      <c r="AO109" s="49" t="n"/>
      <c r="AP109" s="49" t="inlineStr">
        <is>
          <t xml:space="preserve">NO APLICA                </t>
        </is>
      </c>
      <c r="AQ109" s="49" t="n">
        <v>220</v>
      </c>
      <c r="AR109" s="49" t="inlineStr">
        <is>
          <t>01</t>
        </is>
      </c>
      <c r="AS109" s="49" t="n">
        <v>1</v>
      </c>
      <c r="AT109" s="49" t="inlineStr">
        <is>
          <t>No</t>
        </is>
      </c>
      <c r="AU109" s="49" t="n">
        <v>0</v>
      </c>
      <c r="AV109" s="108" t="n">
        <v>0</v>
      </c>
      <c r="AW109" s="108" t="n">
        <v>0</v>
      </c>
      <c r="AX109" s="108" t="n">
        <v>0</v>
      </c>
      <c r="AY109" s="49" t="inlineStr">
        <is>
          <t>No</t>
        </is>
      </c>
      <c r="AZ109" s="49" t="n">
        <v>0</v>
      </c>
      <c r="BA109" s="49" t="inlineStr">
        <is>
          <t>Savia Salud</t>
        </is>
      </c>
      <c r="BB109" s="49" t="inlineStr">
        <is>
          <t>PORVENIR A.F.P.</t>
        </is>
      </c>
      <c r="BC109" s="49" t="inlineStr">
        <is>
          <t>CCF COMFENALCO ANTIOQUIA</t>
        </is>
      </c>
      <c r="BD109" s="49" t="inlineStr">
        <is>
          <t>RIESGOS PROFESIONALES COLMENA S.A.</t>
        </is>
      </c>
      <c r="BE109" s="49" t="inlineStr">
        <is>
          <t>PORVENIR CESANTIAS</t>
        </is>
      </c>
      <c r="BF109" s="49" t="n">
        <v>6.96</v>
      </c>
      <c r="BG109" s="49" t="n">
        <v>220</v>
      </c>
      <c r="BH109" s="49" t="n">
        <v>15</v>
      </c>
      <c r="BI109" s="49" t="inlineStr">
        <is>
          <t xml:space="preserve">0           </t>
        </is>
      </c>
      <c r="BJ109" s="49" t="inlineStr">
        <is>
          <t xml:space="preserve">NO APLICA                               </t>
        </is>
      </c>
      <c r="BK109" s="49" t="inlineStr">
        <is>
          <t>01</t>
        </is>
      </c>
      <c r="BL109" s="49" t="inlineStr">
        <is>
          <t xml:space="preserve">Antioquia                               </t>
        </is>
      </c>
      <c r="BM109" s="49" t="inlineStr">
        <is>
          <t>04</t>
        </is>
      </c>
      <c r="BN109" s="49" t="inlineStr">
        <is>
          <t xml:space="preserve">Otros Lugares                           </t>
        </is>
      </c>
      <c r="BO109" s="49" t="inlineStr">
        <is>
          <t>0</t>
        </is>
      </c>
      <c r="BP109" s="49" t="inlineStr">
        <is>
          <t>NO APLICA</t>
        </is>
      </c>
      <c r="BQ109" s="49" t="inlineStr">
        <is>
          <t>0</t>
        </is>
      </c>
      <c r="BR109" s="49" t="inlineStr">
        <is>
          <t>NO APLICA</t>
        </is>
      </c>
      <c r="BS109" s="49" t="inlineStr">
        <is>
          <t>0</t>
        </is>
      </c>
      <c r="BT109" s="49" t="inlineStr">
        <is>
          <t>NO APLICA</t>
        </is>
      </c>
      <c r="BU109" s="49" t="inlineStr">
        <is>
          <t>0</t>
        </is>
      </c>
      <c r="BV109" s="49" t="inlineStr">
        <is>
          <t>NO APLICA</t>
        </is>
      </c>
      <c r="BW109" s="49" t="inlineStr">
        <is>
          <t>No</t>
        </is>
      </c>
      <c r="BX109" s="49" t="inlineStr">
        <is>
          <t xml:space="preserve">No Aplica                     </t>
        </is>
      </c>
    </row>
    <row r="110" ht="30" customHeight="1">
      <c r="A110" s="49" t="n">
        <v>71315693</v>
      </c>
      <c r="B110" s="49" t="inlineStr">
        <is>
          <t xml:space="preserve"> 154</t>
        </is>
      </c>
      <c r="C110" s="49" t="n">
        <v>71315693</v>
      </c>
      <c r="D110" s="49" t="inlineStr">
        <is>
          <t>CC</t>
        </is>
      </c>
      <c r="E110" s="49" t="inlineStr">
        <is>
          <t>BENITEZ CORREA JUAN DIEGO</t>
        </is>
      </c>
      <c r="F110" s="49" t="inlineStr">
        <is>
          <t>M</t>
        </is>
      </c>
      <c r="G110" s="49" t="inlineStr">
        <is>
          <t xml:space="preserve">A  </t>
        </is>
      </c>
      <c r="H110" s="49" t="inlineStr">
        <is>
          <t>+</t>
        </is>
      </c>
      <c r="I110" s="49" t="inlineStr">
        <is>
          <t>SOLTERO</t>
        </is>
      </c>
      <c r="J110" s="49" t="inlineStr">
        <is>
          <t xml:space="preserve">MEDELLÍN                      </t>
        </is>
      </c>
      <c r="K110" s="49" t="n">
        <v>0</v>
      </c>
      <c r="L110" s="49" t="inlineStr">
        <is>
          <t>11/09/1980</t>
        </is>
      </c>
      <c r="M110" s="49" t="inlineStr">
        <is>
          <t xml:space="preserve">MEDELLÍN                      </t>
        </is>
      </c>
      <c r="N110" s="49" t="inlineStr">
        <is>
          <t xml:space="preserve">0000                </t>
        </is>
      </c>
      <c r="O110" s="49" t="inlineStr">
        <is>
          <t>3137968199</t>
        </is>
      </c>
      <c r="P110" s="49" t="inlineStr">
        <is>
          <t>Cl 27  13D 80 Ap 204</t>
        </is>
      </c>
      <c r="Q110" s="49" t="inlineStr">
        <is>
          <t>juandbenitez@gmail.com</t>
        </is>
      </c>
      <c r="R110" s="49" t="inlineStr">
        <is>
          <t>ENVIRONMENTAL AND SOCIAL SENIOR MANAGER</t>
        </is>
      </c>
      <c r="S110" s="108" t="n">
        <v>91.66666600000001</v>
      </c>
      <c r="T110" s="108" t="n">
        <v>0</v>
      </c>
      <c r="U110" s="108" t="n">
        <v>220</v>
      </c>
      <c r="V110" s="49" t="inlineStr">
        <is>
          <t>CONSIG. CTA AHORROS</t>
        </is>
      </c>
      <c r="W110" s="49" t="inlineStr">
        <is>
          <t xml:space="preserve">BANCOLOMBIA S.A.              </t>
        </is>
      </c>
      <c r="X110" s="49" t="inlineStr">
        <is>
          <t xml:space="preserve">61154990061              </t>
        </is>
      </c>
      <c r="Y110" s="49" t="inlineStr">
        <is>
          <t xml:space="preserve">NO APLICA                     </t>
        </is>
      </c>
      <c r="Z110" s="49" t="inlineStr">
        <is>
          <t>CM0200-ESG</t>
        </is>
      </c>
      <c r="AA110" s="49" t="inlineStr">
        <is>
          <t>CM0200-ESGVP</t>
        </is>
      </c>
      <c r="AB110" s="49" t="inlineStr">
        <is>
          <t xml:space="preserve">01 </t>
        </is>
      </c>
      <c r="AC110" s="49" t="inlineStr">
        <is>
          <t xml:space="preserve">                </t>
        </is>
      </c>
      <c r="AD110" s="49" t="inlineStr">
        <is>
          <t>LEY 50</t>
        </is>
      </c>
      <c r="AE110" s="49" t="inlineStr">
        <is>
          <t>No</t>
        </is>
      </c>
      <c r="AF110" s="49" t="inlineStr">
        <is>
          <t>Integral</t>
        </is>
      </c>
      <c r="AG110" s="49" t="n"/>
      <c r="AH110" s="49" t="inlineStr">
        <is>
          <t>Si</t>
        </is>
      </c>
      <c r="AI110" s="49" t="inlineStr">
        <is>
          <t xml:space="preserve">Normal              </t>
        </is>
      </c>
      <c r="AJ110" s="49" t="inlineStr">
        <is>
          <t xml:space="preserve">Quincenal                     </t>
        </is>
      </c>
      <c r="AK110" s="49" t="inlineStr">
        <is>
          <t>NO</t>
        </is>
      </c>
      <c r="AL110" s="49" t="inlineStr">
        <is>
          <t>NO</t>
        </is>
      </c>
      <c r="AM110" s="49" t="inlineStr">
        <is>
          <t>01/12/2025</t>
        </is>
      </c>
      <c r="AN110" s="49" t="n"/>
      <c r="AO110" s="49" t="n"/>
      <c r="AP110" s="49" t="inlineStr">
        <is>
          <t xml:space="preserve">NO APLICA                </t>
        </is>
      </c>
      <c r="AQ110" s="49" t="n">
        <v>209</v>
      </c>
      <c r="AR110" s="49" t="inlineStr">
        <is>
          <t>01</t>
        </is>
      </c>
      <c r="AS110" s="49" t="n">
        <v>1</v>
      </c>
      <c r="AT110" s="49" t="inlineStr">
        <is>
          <t>No</t>
        </is>
      </c>
      <c r="AU110" s="49" t="n">
        <v>0</v>
      </c>
      <c r="AV110" s="108" t="n">
        <v>0</v>
      </c>
      <c r="AW110" s="108" t="n">
        <v>0</v>
      </c>
      <c r="AX110" s="108" t="n">
        <v>0</v>
      </c>
      <c r="AY110" s="49" t="inlineStr">
        <is>
          <t>No</t>
        </is>
      </c>
      <c r="AZ110" s="49" t="n">
        <v>0</v>
      </c>
      <c r="BA110" s="49" t="inlineStr">
        <is>
          <t>SURA E.P.S.</t>
        </is>
      </c>
      <c r="BB110" s="49" t="inlineStr">
        <is>
          <t>COLPENSIONES - I.S.S. PENSION</t>
        </is>
      </c>
      <c r="BC110" s="49" t="inlineStr">
        <is>
          <t>CCF COMFENALCO ANTIOQUIA</t>
        </is>
      </c>
      <c r="BD110" s="49" t="inlineStr">
        <is>
          <t>RIESGOS PROFESIONALES COLMENA S.A.</t>
        </is>
      </c>
      <c r="BE110" s="49" t="inlineStr">
        <is>
          <t>PORVENIR CESANTIAS</t>
        </is>
      </c>
      <c r="BF110" s="49" t="n">
        <v>6.96</v>
      </c>
      <c r="BG110" s="49" t="n">
        <v>220</v>
      </c>
      <c r="BH110" s="49" t="n">
        <v>15</v>
      </c>
      <c r="BI110" s="49" t="inlineStr">
        <is>
          <t xml:space="preserve">0           </t>
        </is>
      </c>
      <c r="BJ110" s="49" t="inlineStr">
        <is>
          <t xml:space="preserve">NO APLICA                               </t>
        </is>
      </c>
      <c r="BK110" s="49" t="inlineStr">
        <is>
          <t>01</t>
        </is>
      </c>
      <c r="BL110" s="49" t="inlineStr">
        <is>
          <t xml:space="preserve">Antioquia                               </t>
        </is>
      </c>
      <c r="BM110" s="49" t="inlineStr">
        <is>
          <t>04</t>
        </is>
      </c>
      <c r="BN110" s="49" t="inlineStr">
        <is>
          <t xml:space="preserve">Otros Lugares                           </t>
        </is>
      </c>
      <c r="BO110" s="49" t="inlineStr">
        <is>
          <t>0</t>
        </is>
      </c>
      <c r="BP110" s="49" t="inlineStr">
        <is>
          <t>NO APLICA</t>
        </is>
      </c>
      <c r="BQ110" s="49" t="inlineStr">
        <is>
          <t>0</t>
        </is>
      </c>
      <c r="BR110" s="49" t="inlineStr">
        <is>
          <t>NO APLICA</t>
        </is>
      </c>
      <c r="BS110" s="49" t="inlineStr">
        <is>
          <t>0</t>
        </is>
      </c>
      <c r="BT110" s="49" t="inlineStr">
        <is>
          <t>NO APLICA</t>
        </is>
      </c>
      <c r="BU110" s="49" t="inlineStr">
        <is>
          <t>0</t>
        </is>
      </c>
      <c r="BV110" s="49" t="inlineStr">
        <is>
          <t>NO APLICA</t>
        </is>
      </c>
      <c r="BW110" s="49" t="inlineStr">
        <is>
          <t>No</t>
        </is>
      </c>
      <c r="BX110" s="49" t="inlineStr">
        <is>
          <t xml:space="preserve">No Aplica                     </t>
        </is>
      </c>
    </row>
    <row r="111" ht="15" customHeight="1">
      <c r="A111" s="49" t="n">
        <v>74188499</v>
      </c>
      <c r="B111" s="49" t="inlineStr">
        <is>
          <t>165</t>
        </is>
      </c>
      <c r="C111" s="49" t="n">
        <v>74188499</v>
      </c>
      <c r="D111" s="49" t="inlineStr">
        <is>
          <t>CC</t>
        </is>
      </c>
      <c r="E111" s="49" t="inlineStr">
        <is>
          <t>PALACIOS ALVARADO CESAR AUGUSTO</t>
        </is>
      </c>
      <c r="F111" s="49" t="inlineStr">
        <is>
          <t>F</t>
        </is>
      </c>
      <c r="G111" s="49" t="inlineStr">
        <is>
          <t xml:space="preserve">A  </t>
        </is>
      </c>
      <c r="H111" s="49" t="inlineStr">
        <is>
          <t>+</t>
        </is>
      </c>
      <c r="I111" s="49" t="inlineStr">
        <is>
          <t>SOLTERO</t>
        </is>
      </c>
      <c r="J111" s="49" t="inlineStr">
        <is>
          <t xml:space="preserve">BOYACA                        </t>
        </is>
      </c>
      <c r="K111" s="49" t="n">
        <v>0</v>
      </c>
      <c r="L111" s="49" t="inlineStr">
        <is>
          <t>22/04/1981</t>
        </is>
      </c>
      <c r="M111" s="49" t="inlineStr">
        <is>
          <t xml:space="preserve">SUPIA                         </t>
        </is>
      </c>
      <c r="N111" s="49" t="inlineStr">
        <is>
          <t xml:space="preserve">0000                </t>
        </is>
      </c>
      <c r="O111" s="49" t="inlineStr">
        <is>
          <t>3102886432</t>
        </is>
      </c>
      <c r="P111" s="49" t="inlineStr">
        <is>
          <t>CR 8  30  22 Ap 604 TO 1</t>
        </is>
      </c>
      <c r="Q111" s="49" t="inlineStr">
        <is>
          <t>ingenierocesarpalacios@gmail.com</t>
        </is>
      </c>
      <c r="R111" s="49" t="inlineStr">
        <is>
          <t>JEFE TÉCNICO MINERO</t>
        </is>
      </c>
      <c r="S111" s="108" t="n">
        <v>91.66666600000001</v>
      </c>
      <c r="T111" s="108" t="n">
        <v>0</v>
      </c>
      <c r="U111" s="108" t="n">
        <v>220</v>
      </c>
      <c r="V111" s="49" t="inlineStr">
        <is>
          <t>CONSIG. CTA AHORROS</t>
        </is>
      </c>
      <c r="W111" s="49" t="inlineStr">
        <is>
          <t xml:space="preserve">BANCOLOMBIA S.A.              </t>
        </is>
      </c>
      <c r="X111" s="49" t="inlineStr">
        <is>
          <t xml:space="preserve">35824690063              </t>
        </is>
      </c>
      <c r="Y111" s="49" t="inlineStr">
        <is>
          <t xml:space="preserve">NO APLICA                     </t>
        </is>
      </c>
      <c r="Z111" s="49" t="inlineStr">
        <is>
          <t>CM0203-ESG</t>
        </is>
      </c>
      <c r="AA111" s="49" t="inlineStr">
        <is>
          <t>CM0203-ESGFORM</t>
        </is>
      </c>
      <c r="AB111" s="49" t="inlineStr">
        <is>
          <t xml:space="preserve">01 </t>
        </is>
      </c>
      <c r="AC111" s="49" t="inlineStr">
        <is>
          <t xml:space="preserve">                </t>
        </is>
      </c>
      <c r="AD111" s="49" t="inlineStr">
        <is>
          <t>LEY 50</t>
        </is>
      </c>
      <c r="AE111" s="49" t="inlineStr">
        <is>
          <t>No</t>
        </is>
      </c>
      <c r="AF111" s="49" t="inlineStr">
        <is>
          <t>Normal</t>
        </is>
      </c>
      <c r="AG111" s="49" t="n"/>
      <c r="AH111" s="49" t="inlineStr">
        <is>
          <t>Si</t>
        </is>
      </c>
      <c r="AI111" s="49" t="inlineStr">
        <is>
          <t xml:space="preserve">Normal              </t>
        </is>
      </c>
      <c r="AJ111" s="49" t="inlineStr">
        <is>
          <t xml:space="preserve">Quincenal                     </t>
        </is>
      </c>
      <c r="AK111" s="49" t="inlineStr">
        <is>
          <t>NO</t>
        </is>
      </c>
      <c r="AL111" s="49" t="inlineStr">
        <is>
          <t>NO</t>
        </is>
      </c>
      <c r="AM111" s="49" t="inlineStr">
        <is>
          <t>04/02/2026</t>
        </is>
      </c>
      <c r="AN111" s="49" t="n"/>
      <c r="AO111" s="49" t="n"/>
      <c r="AP111" s="49" t="inlineStr">
        <is>
          <t xml:space="preserve">NO APLICA                </t>
        </is>
      </c>
      <c r="AQ111" s="49" t="n">
        <v>223</v>
      </c>
      <c r="AR111" s="49" t="inlineStr">
        <is>
          <t>01</t>
        </is>
      </c>
      <c r="AS111" s="49" t="n">
        <v>1</v>
      </c>
      <c r="AT111" s="49" t="inlineStr">
        <is>
          <t>No</t>
        </is>
      </c>
      <c r="AU111" s="49" t="n">
        <v>0</v>
      </c>
      <c r="AV111" s="108" t="n">
        <v>0</v>
      </c>
      <c r="AW111" s="108" t="n">
        <v>0</v>
      </c>
      <c r="AX111" s="108" t="n">
        <v>0</v>
      </c>
      <c r="AY111" s="49" t="inlineStr">
        <is>
          <t>No</t>
        </is>
      </c>
      <c r="AZ111" s="49" t="n">
        <v>0</v>
      </c>
      <c r="BA111" s="49" t="inlineStr">
        <is>
          <t>SANITAS E.P.S</t>
        </is>
      </c>
      <c r="BB111" s="49" t="inlineStr">
        <is>
          <t>PORVENIR A.F.P.</t>
        </is>
      </c>
      <c r="BC111" s="49" t="inlineStr">
        <is>
          <t>CCF DE CALDAS</t>
        </is>
      </c>
      <c r="BD111" s="49" t="inlineStr">
        <is>
          <t>RIESGOS PROFESIONALES COLMENA S.A.</t>
        </is>
      </c>
      <c r="BE111" s="49" t="inlineStr">
        <is>
          <t>PORVENIR CESANTIAS</t>
        </is>
      </c>
      <c r="BF111" s="49" t="n">
        <v>6.96</v>
      </c>
      <c r="BG111" s="49" t="n">
        <v>220</v>
      </c>
      <c r="BH111" s="49" t="n">
        <v>15</v>
      </c>
      <c r="BI111" s="49" t="inlineStr">
        <is>
          <t xml:space="preserve">0           </t>
        </is>
      </c>
      <c r="BJ111" s="49" t="inlineStr">
        <is>
          <t xml:space="preserve">NO APLICA                               </t>
        </is>
      </c>
      <c r="BK111" s="49" t="inlineStr">
        <is>
          <t>02</t>
        </is>
      </c>
      <c r="BL111" s="49" t="inlineStr">
        <is>
          <t xml:space="preserve">Caldas                                  </t>
        </is>
      </c>
      <c r="BM111" s="49" t="inlineStr">
        <is>
          <t>02</t>
        </is>
      </c>
      <c r="BN111" s="49" t="inlineStr">
        <is>
          <t xml:space="preserve">Supia                                   </t>
        </is>
      </c>
      <c r="BO111" s="49" t="inlineStr">
        <is>
          <t>0</t>
        </is>
      </c>
      <c r="BP111" s="49" t="inlineStr">
        <is>
          <t>NO APLICA</t>
        </is>
      </c>
      <c r="BQ111" s="49" t="inlineStr">
        <is>
          <t>0</t>
        </is>
      </c>
      <c r="BR111" s="49" t="inlineStr">
        <is>
          <t>NO APLICA</t>
        </is>
      </c>
      <c r="BS111" s="49" t="inlineStr">
        <is>
          <t>0</t>
        </is>
      </c>
      <c r="BT111" s="49" t="inlineStr">
        <is>
          <t>NO APLICA</t>
        </is>
      </c>
      <c r="BU111" s="49" t="inlineStr">
        <is>
          <t>0</t>
        </is>
      </c>
      <c r="BV111" s="49" t="inlineStr">
        <is>
          <t>NO APLICA</t>
        </is>
      </c>
      <c r="BW111" s="49" t="inlineStr">
        <is>
          <t>No</t>
        </is>
      </c>
      <c r="BX111" s="49" t="inlineStr">
        <is>
          <t xml:space="preserve">No Aplica                     </t>
        </is>
      </c>
    </row>
    <row r="112" ht="15" customHeight="1">
      <c r="A112" s="49" t="n">
        <v>74188504</v>
      </c>
      <c r="B112" s="49" t="inlineStr">
        <is>
          <t xml:space="preserve"> 155</t>
        </is>
      </c>
      <c r="C112" s="49" t="n">
        <v>74188504</v>
      </c>
      <c r="D112" s="49" t="inlineStr">
        <is>
          <t>CC</t>
        </is>
      </c>
      <c r="E112" s="49" t="inlineStr">
        <is>
          <t>CARDENAS REYES JAIRO ALONSO</t>
        </is>
      </c>
      <c r="F112" s="49" t="inlineStr">
        <is>
          <t>M</t>
        </is>
      </c>
      <c r="G112" s="49" t="inlineStr">
        <is>
          <t xml:space="preserve">A  </t>
        </is>
      </c>
      <c r="H112" s="49" t="inlineStr">
        <is>
          <t>+</t>
        </is>
      </c>
      <c r="I112" s="49" t="inlineStr">
        <is>
          <t>UNION LIBRE</t>
        </is>
      </c>
      <c r="J112" s="49" t="inlineStr">
        <is>
          <t xml:space="preserve">SOGAMOSO                      </t>
        </is>
      </c>
      <c r="K112" s="49" t="n">
        <v>0</v>
      </c>
      <c r="L112" s="49" t="inlineStr">
        <is>
          <t>10/07/1981</t>
        </is>
      </c>
      <c r="M112" s="49" t="inlineStr">
        <is>
          <t xml:space="preserve">SUPIA                         </t>
        </is>
      </c>
      <c r="N112" s="49" t="inlineStr">
        <is>
          <t xml:space="preserve">0000                </t>
        </is>
      </c>
      <c r="O112" s="49" t="inlineStr">
        <is>
          <t>3133462372</t>
        </is>
      </c>
      <c r="P112" s="49" t="inlineStr">
        <is>
          <t>CL 75 S  42  97 AP 2408</t>
        </is>
      </c>
      <c r="Q112" s="49" t="inlineStr">
        <is>
          <t>jairo.cardenas3@gmail.com</t>
        </is>
      </c>
      <c r="R112" s="49" t="inlineStr">
        <is>
          <t>FORMALIZATION MANAGER</t>
        </is>
      </c>
      <c r="S112" s="108" t="n">
        <v>91.66666600000001</v>
      </c>
      <c r="T112" s="108" t="n">
        <v>0</v>
      </c>
      <c r="U112" s="108" t="n">
        <v>220</v>
      </c>
      <c r="V112" s="49" t="inlineStr">
        <is>
          <t>CONSIG. CTA AHORROS</t>
        </is>
      </c>
      <c r="W112" s="49" t="inlineStr">
        <is>
          <t xml:space="preserve">BANCOLOMBIA S.A.              </t>
        </is>
      </c>
      <c r="X112" s="49" t="inlineStr">
        <is>
          <t xml:space="preserve">02995512486              </t>
        </is>
      </c>
      <c r="Y112" s="49" t="inlineStr">
        <is>
          <t xml:space="preserve">NO APLICA                     </t>
        </is>
      </c>
      <c r="Z112" s="49" t="inlineStr">
        <is>
          <t>CM0203-ESG</t>
        </is>
      </c>
      <c r="AA112" s="49" t="inlineStr">
        <is>
          <t>CM0203-ESGFORM</t>
        </is>
      </c>
      <c r="AB112" s="49" t="inlineStr">
        <is>
          <t xml:space="preserve">01 </t>
        </is>
      </c>
      <c r="AC112" s="49" t="inlineStr">
        <is>
          <t xml:space="preserve">                </t>
        </is>
      </c>
      <c r="AD112" s="49" t="inlineStr">
        <is>
          <t>LEY 50</t>
        </is>
      </c>
      <c r="AE112" s="49" t="inlineStr">
        <is>
          <t>No</t>
        </is>
      </c>
      <c r="AF112" s="49" t="inlineStr">
        <is>
          <t>Integral</t>
        </is>
      </c>
      <c r="AG112" s="49" t="n"/>
      <c r="AH112" s="49" t="inlineStr">
        <is>
          <t>Si</t>
        </is>
      </c>
      <c r="AI112" s="49" t="inlineStr">
        <is>
          <t xml:space="preserve">Normal              </t>
        </is>
      </c>
      <c r="AJ112" s="49" t="inlineStr">
        <is>
          <t xml:space="preserve">Quincenal                     </t>
        </is>
      </c>
      <c r="AK112" s="49" t="inlineStr">
        <is>
          <t>NO</t>
        </is>
      </c>
      <c r="AL112" s="49" t="inlineStr">
        <is>
          <t>NO</t>
        </is>
      </c>
      <c r="AM112" s="49" t="inlineStr">
        <is>
          <t>01/12/2025</t>
        </is>
      </c>
      <c r="AN112" s="49" t="n"/>
      <c r="AO112" s="49" t="n"/>
      <c r="AP112" s="49" t="inlineStr">
        <is>
          <t xml:space="preserve">NO APLICA                </t>
        </is>
      </c>
      <c r="AQ112" s="49" t="n">
        <v>210</v>
      </c>
      <c r="AR112" s="49" t="inlineStr">
        <is>
          <t>01</t>
        </is>
      </c>
      <c r="AS112" s="49" t="n">
        <v>1</v>
      </c>
      <c r="AT112" s="49" t="inlineStr">
        <is>
          <t>No</t>
        </is>
      </c>
      <c r="AU112" s="49" t="n">
        <v>0</v>
      </c>
      <c r="AV112" s="108" t="n">
        <v>0</v>
      </c>
      <c r="AW112" s="108" t="n">
        <v>0</v>
      </c>
      <c r="AX112" s="108" t="n">
        <v>0</v>
      </c>
      <c r="AY112" s="49" t="inlineStr">
        <is>
          <t>No</t>
        </is>
      </c>
      <c r="AZ112" s="49" t="n">
        <v>0</v>
      </c>
      <c r="BA112" s="49" t="inlineStr">
        <is>
          <t>NUEVA E.P.S</t>
        </is>
      </c>
      <c r="BB112" s="49" t="inlineStr">
        <is>
          <t>PROTECCION A.F.P</t>
        </is>
      </c>
      <c r="BC112" s="49" t="inlineStr">
        <is>
          <t>CCF COMFENALCO ANTIOQUIA</t>
        </is>
      </c>
      <c r="BD112" s="49" t="inlineStr">
        <is>
          <t>RIESGOS PROFESIONALES COLMENA S.A.</t>
        </is>
      </c>
      <c r="BE112" s="49" t="inlineStr">
        <is>
          <t>PROTECCION CESANTIAS</t>
        </is>
      </c>
      <c r="BF112" s="49" t="n">
        <v>6.96</v>
      </c>
      <c r="BG112" s="49" t="n">
        <v>220</v>
      </c>
      <c r="BH112" s="49" t="n">
        <v>15</v>
      </c>
      <c r="BI112" s="49" t="inlineStr">
        <is>
          <t xml:space="preserve">0           </t>
        </is>
      </c>
      <c r="BJ112" s="49" t="inlineStr">
        <is>
          <t xml:space="preserve">NO APLICA                               </t>
        </is>
      </c>
      <c r="BK112" s="49" t="inlineStr">
        <is>
          <t>02</t>
        </is>
      </c>
      <c r="BL112" s="49" t="inlineStr">
        <is>
          <t xml:space="preserve">Caldas                                  </t>
        </is>
      </c>
      <c r="BM112" s="49" t="inlineStr">
        <is>
          <t>02</t>
        </is>
      </c>
      <c r="BN112" s="49" t="inlineStr">
        <is>
          <t xml:space="preserve">Supia                                   </t>
        </is>
      </c>
      <c r="BO112" s="49" t="inlineStr">
        <is>
          <t>0</t>
        </is>
      </c>
      <c r="BP112" s="49" t="inlineStr">
        <is>
          <t>NO APLICA</t>
        </is>
      </c>
      <c r="BQ112" s="49" t="inlineStr">
        <is>
          <t>0</t>
        </is>
      </c>
      <c r="BR112" s="49" t="inlineStr">
        <is>
          <t>NO APLICA</t>
        </is>
      </c>
      <c r="BS112" s="49" t="inlineStr">
        <is>
          <t>0</t>
        </is>
      </c>
      <c r="BT112" s="49" t="inlineStr">
        <is>
          <t>NO APLICA</t>
        </is>
      </c>
      <c r="BU112" s="49" t="inlineStr">
        <is>
          <t>0</t>
        </is>
      </c>
      <c r="BV112" s="49" t="inlineStr">
        <is>
          <t>NO APLICA</t>
        </is>
      </c>
      <c r="BW112" s="49" t="inlineStr">
        <is>
          <t>No</t>
        </is>
      </c>
      <c r="BX112" s="49" t="inlineStr">
        <is>
          <t xml:space="preserve">No Aplica                     </t>
        </is>
      </c>
    </row>
    <row r="113" ht="30" customHeight="1">
      <c r="A113" s="49" t="n">
        <v>74382199</v>
      </c>
      <c r="B113" s="49" t="inlineStr">
        <is>
          <t>005</t>
        </is>
      </c>
      <c r="C113" s="49" t="n">
        <v>74382199</v>
      </c>
      <c r="D113" s="49" t="inlineStr">
        <is>
          <t>CC</t>
        </is>
      </c>
      <c r="E113" s="49" t="inlineStr">
        <is>
          <t>HIGUERA GARZON RODOLFO</t>
        </is>
      </c>
      <c r="F113" s="49" t="inlineStr">
        <is>
          <t>M</t>
        </is>
      </c>
      <c r="G113" s="49" t="inlineStr">
        <is>
          <t xml:space="preserve">O  </t>
        </is>
      </c>
      <c r="H113" s="49" t="inlineStr">
        <is>
          <t>+</t>
        </is>
      </c>
      <c r="I113" s="49" t="inlineStr">
        <is>
          <t>CASADO</t>
        </is>
      </c>
      <c r="J113" s="49" t="inlineStr">
        <is>
          <t xml:space="preserve">DUITAMA                       </t>
        </is>
      </c>
      <c r="K113" s="49" t="n">
        <v>0</v>
      </c>
      <c r="L113" s="49" t="inlineStr">
        <is>
          <t>22/01/1986</t>
        </is>
      </c>
      <c r="M113" s="49" t="inlineStr">
        <is>
          <t xml:space="preserve">MEDELLÍN                      </t>
        </is>
      </c>
      <c r="N113" s="49" t="inlineStr">
        <is>
          <t xml:space="preserve">3132141377          </t>
        </is>
      </c>
      <c r="O113" s="49" t="inlineStr">
        <is>
          <t>3132141377</t>
        </is>
      </c>
      <c r="P113" s="49" t="inlineStr">
        <is>
          <t>km 17 vía las palmas Edificio Swiss apto</t>
        </is>
      </c>
      <c r="Q113" s="49" t="inlineStr">
        <is>
          <t>r.higuera@collectivemining.com</t>
        </is>
      </c>
      <c r="R113" s="49" t="inlineStr">
        <is>
          <t>VICE PRESIDENT OF SUSTAINABILITY</t>
        </is>
      </c>
      <c r="S113" s="108" t="n">
        <v>91.66666600000001</v>
      </c>
      <c r="T113" s="108" t="n">
        <v>0</v>
      </c>
      <c r="U113" s="108" t="n">
        <v>220</v>
      </c>
      <c r="V113" s="49" t="inlineStr">
        <is>
          <t>CONSIG. CTA AHORROS</t>
        </is>
      </c>
      <c r="W113" s="49" t="inlineStr">
        <is>
          <t xml:space="preserve">BANCOLOMBIA S.A.              </t>
        </is>
      </c>
      <c r="X113" s="49" t="inlineStr">
        <is>
          <t xml:space="preserve">26264022273              </t>
        </is>
      </c>
      <c r="Y113" s="49" t="inlineStr">
        <is>
          <t xml:space="preserve">NO APLICA                     </t>
        </is>
      </c>
      <c r="Z113" s="49" t="inlineStr">
        <is>
          <t>CM0200-ESG</t>
        </is>
      </c>
      <c r="AA113" s="49" t="inlineStr">
        <is>
          <t>CM0200-ESGVP</t>
        </is>
      </c>
      <c r="AB113" s="49" t="inlineStr">
        <is>
          <t xml:space="preserve">01 </t>
        </is>
      </c>
      <c r="AC113" s="49" t="inlineStr">
        <is>
          <t xml:space="preserve">0               </t>
        </is>
      </c>
      <c r="AD113" s="49" t="inlineStr">
        <is>
          <t>LEY 50</t>
        </is>
      </c>
      <c r="AE113" s="49" t="inlineStr">
        <is>
          <t>No</t>
        </is>
      </c>
      <c r="AF113" s="49" t="inlineStr">
        <is>
          <t>Integral</t>
        </is>
      </c>
      <c r="AG113" s="49" t="n"/>
      <c r="AH113" s="49" t="inlineStr">
        <is>
          <t>Si</t>
        </is>
      </c>
      <c r="AI113" s="49" t="inlineStr">
        <is>
          <t xml:space="preserve">Normal              </t>
        </is>
      </c>
      <c r="AJ113" s="49" t="inlineStr">
        <is>
          <t xml:space="preserve">Quincenal                     </t>
        </is>
      </c>
      <c r="AK113" s="49" t="inlineStr">
        <is>
          <t>NO</t>
        </is>
      </c>
      <c r="AL113" s="49" t="inlineStr">
        <is>
          <t>NO</t>
        </is>
      </c>
      <c r="AM113" s="49" t="inlineStr">
        <is>
          <t>01/09/2020</t>
        </is>
      </c>
      <c r="AN113" s="49" t="n"/>
      <c r="AO113" s="49" t="n"/>
      <c r="AP113" s="49" t="inlineStr">
        <is>
          <t xml:space="preserve">NO APLICA                </t>
        </is>
      </c>
      <c r="AQ113" s="49" t="n">
        <v>73</v>
      </c>
      <c r="AR113" s="49" t="inlineStr">
        <is>
          <t>01</t>
        </is>
      </c>
      <c r="AS113" s="49" t="n">
        <v>2</v>
      </c>
      <c r="AT113" s="49" t="inlineStr">
        <is>
          <t>No</t>
        </is>
      </c>
      <c r="AU113" s="49" t="n">
        <v>26.45</v>
      </c>
      <c r="AV113" s="108" t="n">
        <v>0</v>
      </c>
      <c r="AW113" s="108" t="n">
        <v>0</v>
      </c>
      <c r="AX113" s="108" t="n">
        <v>0</v>
      </c>
      <c r="AY113" s="49" t="inlineStr">
        <is>
          <t>No</t>
        </is>
      </c>
      <c r="AZ113" s="49" t="n">
        <v>1120000</v>
      </c>
      <c r="BA113" s="49" t="inlineStr">
        <is>
          <t>SURA E.P.S.</t>
        </is>
      </c>
      <c r="BB113" s="49" t="inlineStr">
        <is>
          <t>PROTECCION A.F.P</t>
        </is>
      </c>
      <c r="BC113" s="49" t="inlineStr">
        <is>
          <t>CCF COMFENALCO ANTIOQUIA</t>
        </is>
      </c>
      <c r="BD113" s="49" t="inlineStr">
        <is>
          <t>RIESGOS PROFESIONALES COLMENA S.A.</t>
        </is>
      </c>
      <c r="BE113" s="49" t="inlineStr">
        <is>
          <t>PROTECCION CESANTIAS</t>
        </is>
      </c>
      <c r="BF113" s="49" t="n">
        <v>6.96</v>
      </c>
      <c r="BG113" s="49" t="n">
        <v>220</v>
      </c>
      <c r="BH113" s="49" t="n">
        <v>15</v>
      </c>
      <c r="BI113" s="49" t="inlineStr">
        <is>
          <t xml:space="preserve">0           </t>
        </is>
      </c>
      <c r="BJ113" s="49" t="inlineStr">
        <is>
          <t xml:space="preserve">NO APLICA                               </t>
        </is>
      </c>
      <c r="BK113" s="49" t="inlineStr">
        <is>
          <t>01</t>
        </is>
      </c>
      <c r="BL113" s="49" t="inlineStr">
        <is>
          <t xml:space="preserve">Antioquia                               </t>
        </is>
      </c>
      <c r="BM113" s="49" t="inlineStr">
        <is>
          <t>04</t>
        </is>
      </c>
      <c r="BN113" s="49" t="inlineStr">
        <is>
          <t xml:space="preserve">Otros Lugares                           </t>
        </is>
      </c>
      <c r="BO113" s="49" t="inlineStr">
        <is>
          <t>0</t>
        </is>
      </c>
      <c r="BP113" s="49" t="inlineStr">
        <is>
          <t>NO APLICA</t>
        </is>
      </c>
      <c r="BQ113" s="49" t="inlineStr">
        <is>
          <t>0</t>
        </is>
      </c>
      <c r="BR113" s="49" t="inlineStr">
        <is>
          <t>NO APLICA</t>
        </is>
      </c>
      <c r="BS113" s="49" t="inlineStr">
        <is>
          <t>0</t>
        </is>
      </c>
      <c r="BT113" s="49" t="inlineStr">
        <is>
          <t>NO APLICA</t>
        </is>
      </c>
      <c r="BU113" s="49" t="inlineStr">
        <is>
          <t>0</t>
        </is>
      </c>
      <c r="BV113" s="49" t="inlineStr">
        <is>
          <t>NO APLICA</t>
        </is>
      </c>
      <c r="BW113" s="49" t="inlineStr">
        <is>
          <t>No</t>
        </is>
      </c>
      <c r="BX113" s="49" t="inlineStr">
        <is>
          <t xml:space="preserve">No Aplica                     </t>
        </is>
      </c>
    </row>
    <row r="114" ht="22.5" customHeight="1">
      <c r="A114" s="49" t="n">
        <v>75065818</v>
      </c>
      <c r="B114" s="49" t="inlineStr">
        <is>
          <t>058</t>
        </is>
      </c>
      <c r="C114" s="49" t="n">
        <v>75065818</v>
      </c>
      <c r="D114" s="49" t="inlineStr">
        <is>
          <t>CC</t>
        </is>
      </c>
      <c r="E114" s="49" t="inlineStr">
        <is>
          <t>VALLEJO LONDOÑO ROBINSON</t>
        </is>
      </c>
      <c r="F114" s="49" t="inlineStr">
        <is>
          <t>M</t>
        </is>
      </c>
      <c r="G114" s="49" t="inlineStr">
        <is>
          <t xml:space="preserve">A  </t>
        </is>
      </c>
      <c r="H114" s="49" t="inlineStr">
        <is>
          <t>+</t>
        </is>
      </c>
      <c r="I114" s="49" t="inlineStr">
        <is>
          <t>CASADO</t>
        </is>
      </c>
      <c r="J114" s="49" t="inlineStr">
        <is>
          <t xml:space="preserve">MANIZALES                     </t>
        </is>
      </c>
      <c r="K114" s="49" t="n">
        <v>0</v>
      </c>
      <c r="L114" s="49" t="inlineStr">
        <is>
          <t>21/02/1972</t>
        </is>
      </c>
      <c r="M114" s="49" t="inlineStr">
        <is>
          <t xml:space="preserve">SUPIA                         </t>
        </is>
      </c>
      <c r="N114" s="49" t="inlineStr">
        <is>
          <t xml:space="preserve">3105426556          </t>
        </is>
      </c>
      <c r="O114" s="49" t="inlineStr">
        <is>
          <t>3105426556</t>
        </is>
      </c>
      <c r="P114" s="49" t="inlineStr">
        <is>
          <t>CL  58 F 9 B 50</t>
        </is>
      </c>
      <c r="Q114" s="49" t="inlineStr">
        <is>
          <t>vallejo.robinson@gmail.com</t>
        </is>
      </c>
      <c r="R114" s="49" t="inlineStr">
        <is>
          <t>SUPERVISOR DE PROTECCIÓN</t>
        </is>
      </c>
      <c r="S114" s="108" t="n">
        <v>91.66666600000001</v>
      </c>
      <c r="T114" s="108" t="n">
        <v>0</v>
      </c>
      <c r="U114" s="108" t="n">
        <v>220</v>
      </c>
      <c r="V114" s="49" t="inlineStr">
        <is>
          <t>CONSIG. CTA AHORROS</t>
        </is>
      </c>
      <c r="W114" s="49" t="inlineStr">
        <is>
          <t xml:space="preserve">BANCO DAVIVIENDA S.A.         </t>
        </is>
      </c>
      <c r="X114" s="49" t="inlineStr">
        <is>
          <t xml:space="preserve">0000000258509108         </t>
        </is>
      </c>
      <c r="Y114" s="49" t="inlineStr">
        <is>
          <t xml:space="preserve">NO APLICA                     </t>
        </is>
      </c>
      <c r="Z114" s="49" t="inlineStr">
        <is>
          <t>CM0400-PRO</t>
        </is>
      </c>
      <c r="AA114" s="49" t="inlineStr">
        <is>
          <t>CM0400-PRO</t>
        </is>
      </c>
      <c r="AB114" s="49" t="inlineStr">
        <is>
          <t xml:space="preserve">01 </t>
        </is>
      </c>
      <c r="AC114" s="49" t="inlineStr">
        <is>
          <t xml:space="preserve">                </t>
        </is>
      </c>
      <c r="AD114" s="49" t="inlineStr">
        <is>
          <t>LEY 50</t>
        </is>
      </c>
      <c r="AE114" s="49" t="inlineStr">
        <is>
          <t>Si</t>
        </is>
      </c>
      <c r="AF114" s="49" t="inlineStr">
        <is>
          <t>Normal</t>
        </is>
      </c>
      <c r="AG114" s="49" t="n"/>
      <c r="AH114" s="49" t="inlineStr">
        <is>
          <t>Si</t>
        </is>
      </c>
      <c r="AI114" s="49" t="inlineStr">
        <is>
          <t xml:space="preserve">Normal              </t>
        </is>
      </c>
      <c r="AJ114" s="49" t="inlineStr">
        <is>
          <t xml:space="preserve">Quincenal                     </t>
        </is>
      </c>
      <c r="AK114" s="49" t="inlineStr">
        <is>
          <t>NO</t>
        </is>
      </c>
      <c r="AL114" s="49" t="inlineStr">
        <is>
          <t>NO</t>
        </is>
      </c>
      <c r="AM114" s="49" t="inlineStr">
        <is>
          <t>01/07/2023</t>
        </is>
      </c>
      <c r="AN114" s="49" t="n"/>
      <c r="AO114" s="49" t="n"/>
      <c r="AP114" s="49" t="inlineStr">
        <is>
          <t xml:space="preserve">NO APLICA                </t>
        </is>
      </c>
      <c r="AQ114" s="49" t="n">
        <v>102</v>
      </c>
      <c r="AR114" s="49" t="inlineStr">
        <is>
          <t>01</t>
        </is>
      </c>
      <c r="AS114" s="49" t="n">
        <v>1</v>
      </c>
      <c r="AT114" s="49" t="inlineStr">
        <is>
          <t>Si</t>
        </is>
      </c>
      <c r="AU114" s="49" t="n">
        <v>0</v>
      </c>
      <c r="AV114" s="108" t="n">
        <v>0</v>
      </c>
      <c r="AW114" s="108" t="n">
        <v>0</v>
      </c>
      <c r="AX114" s="108" t="n">
        <v>0</v>
      </c>
      <c r="AY114" s="49" t="inlineStr">
        <is>
          <t>No</t>
        </is>
      </c>
      <c r="AZ114" s="49" t="n">
        <v>200713</v>
      </c>
      <c r="BA114" s="49" t="inlineStr">
        <is>
          <t>FOSYGA</t>
        </is>
      </c>
      <c r="BB114" s="49" t="inlineStr">
        <is>
          <t>PORVENIR A.F.P.</t>
        </is>
      </c>
      <c r="BC114" s="49" t="inlineStr">
        <is>
          <t>CCF DE CALDAS</t>
        </is>
      </c>
      <c r="BD114" s="49" t="inlineStr">
        <is>
          <t>RIESGOS PROFESIONALES COLMENA S.A.</t>
        </is>
      </c>
      <c r="BE114" s="49" t="inlineStr">
        <is>
          <t>PORVENIR CESANTIAS</t>
        </is>
      </c>
      <c r="BF114" s="49" t="n">
        <v>6.96</v>
      </c>
      <c r="BG114" s="49" t="n">
        <v>220</v>
      </c>
      <c r="BH114" s="49" t="n">
        <v>15</v>
      </c>
      <c r="BI114" s="49" t="inlineStr">
        <is>
          <t xml:space="preserve">0           </t>
        </is>
      </c>
      <c r="BJ114" s="49" t="inlineStr">
        <is>
          <t xml:space="preserve">NO APLICA                               </t>
        </is>
      </c>
      <c r="BK114" s="49" t="inlineStr">
        <is>
          <t>02</t>
        </is>
      </c>
      <c r="BL114" s="49" t="inlineStr">
        <is>
          <t xml:space="preserve">Caldas                                  </t>
        </is>
      </c>
      <c r="BM114" s="49" t="inlineStr">
        <is>
          <t>02</t>
        </is>
      </c>
      <c r="BN114" s="49" t="inlineStr">
        <is>
          <t xml:space="preserve">Supia                                   </t>
        </is>
      </c>
      <c r="BO114" s="49" t="inlineStr">
        <is>
          <t>0</t>
        </is>
      </c>
      <c r="BP114" s="49" t="inlineStr">
        <is>
          <t>NO APLICA</t>
        </is>
      </c>
      <c r="BQ114" s="49" t="inlineStr">
        <is>
          <t>0</t>
        </is>
      </c>
      <c r="BR114" s="49" t="inlineStr">
        <is>
          <t>NO APLICA</t>
        </is>
      </c>
      <c r="BS114" s="49" t="inlineStr">
        <is>
          <t>0</t>
        </is>
      </c>
      <c r="BT114" s="49" t="inlineStr">
        <is>
          <t>NO APLICA</t>
        </is>
      </c>
      <c r="BU114" s="49" t="inlineStr">
        <is>
          <t>0</t>
        </is>
      </c>
      <c r="BV114" s="49" t="inlineStr">
        <is>
          <t>NO APLICA</t>
        </is>
      </c>
      <c r="BW114" s="49" t="inlineStr">
        <is>
          <t>No</t>
        </is>
      </c>
      <c r="BX114" s="49" t="inlineStr">
        <is>
          <t xml:space="preserve">No Aplica                     </t>
        </is>
      </c>
    </row>
    <row r="115" ht="22.5" customHeight="1">
      <c r="A115" s="49" t="n">
        <v>75067991</v>
      </c>
      <c r="B115" s="49" t="inlineStr">
        <is>
          <t xml:space="preserve"> 141</t>
        </is>
      </c>
      <c r="C115" s="49" t="n">
        <v>75067991</v>
      </c>
      <c r="D115" s="49" t="inlineStr">
        <is>
          <t>CC</t>
        </is>
      </c>
      <c r="E115" s="49" t="inlineStr">
        <is>
          <t>VALLEJO VALLEJO CARLOS ELIAS</t>
        </is>
      </c>
      <c r="F115" s="49" t="inlineStr">
        <is>
          <t>M</t>
        </is>
      </c>
      <c r="G115" s="49" t="inlineStr">
        <is>
          <t xml:space="preserve">A  </t>
        </is>
      </c>
      <c r="H115" s="49" t="inlineStr">
        <is>
          <t>+</t>
        </is>
      </c>
      <c r="I115" s="49" t="inlineStr">
        <is>
          <t>CASADO</t>
        </is>
      </c>
      <c r="J115" s="49" t="inlineStr">
        <is>
          <t xml:space="preserve">MANIZALES                     </t>
        </is>
      </c>
      <c r="K115" s="49" t="n">
        <v>0</v>
      </c>
      <c r="L115" s="49" t="inlineStr">
        <is>
          <t>30/06/1972</t>
        </is>
      </c>
      <c r="M115" s="49" t="inlineStr">
        <is>
          <t xml:space="preserve">SUPIA                         </t>
        </is>
      </c>
      <c r="N115" s="49" t="inlineStr">
        <is>
          <t xml:space="preserve">0000                </t>
        </is>
      </c>
      <c r="O115" s="49" t="inlineStr">
        <is>
          <t>3105959130</t>
        </is>
      </c>
      <c r="P115" s="49" t="inlineStr">
        <is>
          <t>CR 1 N  11 41</t>
        </is>
      </c>
      <c r="Q115" s="49" t="inlineStr">
        <is>
          <t>carlos.vallejov88@gmail.com</t>
        </is>
      </c>
      <c r="R115" s="49" t="inlineStr">
        <is>
          <t>COORDINADOR DE PROTECCIÓN</t>
        </is>
      </c>
      <c r="S115" s="108" t="n">
        <v>91.66666600000001</v>
      </c>
      <c r="T115" s="108" t="n">
        <v>0</v>
      </c>
      <c r="U115" s="108" t="n">
        <v>220</v>
      </c>
      <c r="V115" s="49" t="inlineStr">
        <is>
          <t>CONSIG. CTA AHORROS</t>
        </is>
      </c>
      <c r="W115" s="49" t="inlineStr">
        <is>
          <t xml:space="preserve">BANCO DAVIVIENDA S.A.         </t>
        </is>
      </c>
      <c r="X115" s="49" t="inlineStr">
        <is>
          <t xml:space="preserve">0550488455723814         </t>
        </is>
      </c>
      <c r="Y115" s="49" t="inlineStr">
        <is>
          <t xml:space="preserve">NO APLICA                     </t>
        </is>
      </c>
      <c r="Z115" s="49" t="inlineStr">
        <is>
          <t>CM0400-PRO</t>
        </is>
      </c>
      <c r="AA115" s="49" t="inlineStr">
        <is>
          <t>CM0400-PRO</t>
        </is>
      </c>
      <c r="AB115" s="49" t="inlineStr">
        <is>
          <t xml:space="preserve">01 </t>
        </is>
      </c>
      <c r="AC115" s="49" t="inlineStr">
        <is>
          <t xml:space="preserve">                </t>
        </is>
      </c>
      <c r="AD115" s="49" t="inlineStr">
        <is>
          <t>LEY 50</t>
        </is>
      </c>
      <c r="AE115" s="49" t="inlineStr">
        <is>
          <t>No</t>
        </is>
      </c>
      <c r="AF115" s="49" t="inlineStr">
        <is>
          <t>Normal</t>
        </is>
      </c>
      <c r="AG115" s="49" t="n"/>
      <c r="AH115" s="49" t="inlineStr">
        <is>
          <t>Si</t>
        </is>
      </c>
      <c r="AI115" s="49" t="inlineStr">
        <is>
          <t xml:space="preserve">Normal              </t>
        </is>
      </c>
      <c r="AJ115" s="49" t="inlineStr">
        <is>
          <t xml:space="preserve">Quincenal                     </t>
        </is>
      </c>
      <c r="AK115" s="49" t="inlineStr">
        <is>
          <t>NO</t>
        </is>
      </c>
      <c r="AL115" s="49" t="inlineStr">
        <is>
          <t>NO</t>
        </is>
      </c>
      <c r="AM115" s="49" t="inlineStr">
        <is>
          <t>01/10/2025</t>
        </is>
      </c>
      <c r="AN115" s="49" t="n"/>
      <c r="AO115" s="49" t="n"/>
      <c r="AP115" s="49" t="inlineStr">
        <is>
          <t xml:space="preserve">NO APLICA                </t>
        </is>
      </c>
      <c r="AQ115" s="49" t="n">
        <v>198</v>
      </c>
      <c r="AR115" s="49" t="inlineStr">
        <is>
          <t>01</t>
        </is>
      </c>
      <c r="AS115" s="49" t="n">
        <v>1</v>
      </c>
      <c r="AT115" s="49" t="inlineStr">
        <is>
          <t>No</t>
        </is>
      </c>
      <c r="AU115" s="49" t="n">
        <v>0</v>
      </c>
      <c r="AV115" s="108" t="n">
        <v>0</v>
      </c>
      <c r="AW115" s="108" t="n">
        <v>0</v>
      </c>
      <c r="AX115" s="108" t="n">
        <v>0</v>
      </c>
      <c r="AY115" s="49" t="inlineStr">
        <is>
          <t>No</t>
        </is>
      </c>
      <c r="AZ115" s="49" t="n">
        <v>0</v>
      </c>
      <c r="BA115" s="49" t="inlineStr">
        <is>
          <t>FOSYGA</t>
        </is>
      </c>
      <c r="BB115" s="49" t="inlineStr">
        <is>
          <t>COLPENSIONES - I.S.S. PENSION</t>
        </is>
      </c>
      <c r="BC115" s="49" t="inlineStr">
        <is>
          <t>CCF DE CALDAS</t>
        </is>
      </c>
      <c r="BD115" s="49" t="inlineStr">
        <is>
          <t>RIESGOS PROFESIONALES COLMENA S.A.</t>
        </is>
      </c>
      <c r="BE115" s="49" t="inlineStr">
        <is>
          <t>PORVENIR CESANTIAS</t>
        </is>
      </c>
      <c r="BF115" s="49" t="n">
        <v>6.96</v>
      </c>
      <c r="BG115" s="49" t="n">
        <v>220</v>
      </c>
      <c r="BH115" s="49" t="n">
        <v>15</v>
      </c>
      <c r="BI115" s="49" t="inlineStr">
        <is>
          <t xml:space="preserve">0           </t>
        </is>
      </c>
      <c r="BJ115" s="49" t="inlineStr">
        <is>
          <t xml:space="preserve">NO APLICA                               </t>
        </is>
      </c>
      <c r="BK115" s="49" t="inlineStr">
        <is>
          <t>02</t>
        </is>
      </c>
      <c r="BL115" s="49" t="inlineStr">
        <is>
          <t xml:space="preserve">Caldas                                  </t>
        </is>
      </c>
      <c r="BM115" s="49" t="inlineStr">
        <is>
          <t>02</t>
        </is>
      </c>
      <c r="BN115" s="49" t="inlineStr">
        <is>
          <t xml:space="preserve">Supia                                   </t>
        </is>
      </c>
      <c r="BO115" s="49" t="inlineStr">
        <is>
          <t>0</t>
        </is>
      </c>
      <c r="BP115" s="49" t="inlineStr">
        <is>
          <t>NO APLICA</t>
        </is>
      </c>
      <c r="BQ115" s="49" t="inlineStr">
        <is>
          <t>0</t>
        </is>
      </c>
      <c r="BR115" s="49" t="inlineStr">
        <is>
          <t>NO APLICA</t>
        </is>
      </c>
      <c r="BS115" s="49" t="inlineStr">
        <is>
          <t>0</t>
        </is>
      </c>
      <c r="BT115" s="49" t="inlineStr">
        <is>
          <t>NO APLICA</t>
        </is>
      </c>
      <c r="BU115" s="49" t="inlineStr">
        <is>
          <t>0</t>
        </is>
      </c>
      <c r="BV115" s="49" t="inlineStr">
        <is>
          <t>NO APLICA</t>
        </is>
      </c>
      <c r="BW115" s="49" t="inlineStr">
        <is>
          <t>No</t>
        </is>
      </c>
      <c r="BX115" s="49" t="inlineStr">
        <is>
          <t xml:space="preserve">No Aplica                     </t>
        </is>
      </c>
    </row>
    <row r="116" ht="30" customHeight="1">
      <c r="A116" s="49" t="n">
        <v>75079022</v>
      </c>
      <c r="B116" s="49" t="inlineStr">
        <is>
          <t>078</t>
        </is>
      </c>
      <c r="C116" s="49" t="n">
        <v>75079022</v>
      </c>
      <c r="D116" s="49" t="inlineStr">
        <is>
          <t>CC</t>
        </is>
      </c>
      <c r="E116" s="49" t="inlineStr">
        <is>
          <t>CRUZ SANCHEZ MAURICIO JAVIER</t>
        </is>
      </c>
      <c r="F116" s="49" t="inlineStr">
        <is>
          <t>M</t>
        </is>
      </c>
      <c r="G116" s="49" t="inlineStr">
        <is>
          <t xml:space="preserve">A  </t>
        </is>
      </c>
      <c r="H116" s="49" t="inlineStr">
        <is>
          <t>+</t>
        </is>
      </c>
      <c r="I116" s="49" t="inlineStr">
        <is>
          <t>CASADO</t>
        </is>
      </c>
      <c r="J116" s="49" t="inlineStr">
        <is>
          <t xml:space="preserve">CALI                          </t>
        </is>
      </c>
      <c r="K116" s="49" t="n">
        <v>0</v>
      </c>
      <c r="L116" s="49" t="inlineStr">
        <is>
          <t>10/11/1975</t>
        </is>
      </c>
      <c r="M116" s="49" t="inlineStr">
        <is>
          <t xml:space="preserve">SUPIA                         </t>
        </is>
      </c>
      <c r="N116" s="49" t="inlineStr">
        <is>
          <t xml:space="preserve">0                   </t>
        </is>
      </c>
      <c r="O116" s="49" t="inlineStr">
        <is>
          <t>312 2580201</t>
        </is>
      </c>
      <c r="P116" s="49" t="inlineStr">
        <is>
          <t>Calle 71 1 516 CS 219</t>
        </is>
      </c>
      <c r="Q116" s="49" t="inlineStr">
        <is>
          <t>m.cruz@collectivemining.com</t>
        </is>
      </c>
      <c r="R116" s="49" t="inlineStr">
        <is>
          <t>GEOLOGO (A) SENIOR DE FORMALIZACIÓN</t>
        </is>
      </c>
      <c r="S116" s="108" t="n">
        <v>91.66666600000001</v>
      </c>
      <c r="T116" s="108" t="n">
        <v>0</v>
      </c>
      <c r="U116" s="108" t="n">
        <v>220</v>
      </c>
      <c r="V116" s="49" t="inlineStr">
        <is>
          <t>CONSIG. CTA AHORROS</t>
        </is>
      </c>
      <c r="W116" s="49" t="inlineStr">
        <is>
          <t xml:space="preserve">BANCO DE BOGOTÁ               </t>
        </is>
      </c>
      <c r="X116" s="49" t="inlineStr">
        <is>
          <t xml:space="preserve">218035848                </t>
        </is>
      </c>
      <c r="Y116" s="49" t="inlineStr">
        <is>
          <t xml:space="preserve">NO APLICA                     </t>
        </is>
      </c>
      <c r="Z116" s="49" t="inlineStr">
        <is>
          <t>CM0203-ESG</t>
        </is>
      </c>
      <c r="AA116" s="49" t="inlineStr">
        <is>
          <t>CM0203-ESGFORM</t>
        </is>
      </c>
      <c r="AB116" s="49" t="inlineStr">
        <is>
          <t xml:space="preserve">01 </t>
        </is>
      </c>
      <c r="AC116" s="49" t="inlineStr">
        <is>
          <t xml:space="preserve">                </t>
        </is>
      </c>
      <c r="AD116" s="49" t="inlineStr">
        <is>
          <t>LEY 50</t>
        </is>
      </c>
      <c r="AE116" s="49" t="inlineStr">
        <is>
          <t>No</t>
        </is>
      </c>
      <c r="AF116" s="49" t="inlineStr">
        <is>
          <t>Normal</t>
        </is>
      </c>
      <c r="AG116" s="49" t="n"/>
      <c r="AH116" s="49" t="inlineStr">
        <is>
          <t>Si</t>
        </is>
      </c>
      <c r="AI116" s="49" t="inlineStr">
        <is>
          <t xml:space="preserve">Normal              </t>
        </is>
      </c>
      <c r="AJ116" s="49" t="inlineStr">
        <is>
          <t xml:space="preserve">Quincenal                     </t>
        </is>
      </c>
      <c r="AK116" s="49" t="inlineStr">
        <is>
          <t>NO</t>
        </is>
      </c>
      <c r="AL116" s="49" t="inlineStr">
        <is>
          <t>NO</t>
        </is>
      </c>
      <c r="AM116" s="49" t="inlineStr">
        <is>
          <t>04/06/2024</t>
        </is>
      </c>
      <c r="AN116" s="49" t="n"/>
      <c r="AO116" s="49" t="n"/>
      <c r="AP116" s="49" t="inlineStr">
        <is>
          <t xml:space="preserve">NO APLICA                </t>
        </is>
      </c>
      <c r="AQ116" s="49" t="n">
        <v>136</v>
      </c>
      <c r="AR116" s="49" t="inlineStr">
        <is>
          <t>03</t>
        </is>
      </c>
      <c r="AS116" s="49" t="n">
        <v>1</v>
      </c>
      <c r="AT116" s="49" t="inlineStr">
        <is>
          <t>No</t>
        </is>
      </c>
      <c r="AU116" s="49" t="n">
        <v>0</v>
      </c>
      <c r="AV116" s="108" t="n">
        <v>0</v>
      </c>
      <c r="AW116" s="108" t="n">
        <v>0</v>
      </c>
      <c r="AX116" s="108" t="n">
        <v>0</v>
      </c>
      <c r="AY116" s="49" t="inlineStr">
        <is>
          <t>No</t>
        </is>
      </c>
      <c r="AZ116" s="49" t="n">
        <v>340000</v>
      </c>
      <c r="BA116" s="49" t="inlineStr">
        <is>
          <t>SURA E.P.S.</t>
        </is>
      </c>
      <c r="BB116" s="49" t="inlineStr">
        <is>
          <t>COLPENSIONES - I.S.S. PENSION</t>
        </is>
      </c>
      <c r="BC116" s="49" t="inlineStr">
        <is>
          <t>CCF DE CALDAS</t>
        </is>
      </c>
      <c r="BD116" s="49" t="inlineStr">
        <is>
          <t>RIESGOS PROFESIONALES COLMENA S.A.</t>
        </is>
      </c>
      <c r="BE116" s="49" t="inlineStr">
        <is>
          <t>PROTECCION CESANTIAS</t>
        </is>
      </c>
      <c r="BF116" s="49" t="n">
        <v>6.96</v>
      </c>
      <c r="BG116" s="49" t="n">
        <v>220</v>
      </c>
      <c r="BH116" s="49" t="n">
        <v>15</v>
      </c>
      <c r="BI116" s="49" t="inlineStr">
        <is>
          <t xml:space="preserve">0           </t>
        </is>
      </c>
      <c r="BJ116" s="49" t="inlineStr">
        <is>
          <t xml:space="preserve">NO APLICA                               </t>
        </is>
      </c>
      <c r="BK116" s="49" t="inlineStr">
        <is>
          <t>02</t>
        </is>
      </c>
      <c r="BL116" s="49" t="inlineStr">
        <is>
          <t xml:space="preserve">Caldas                                  </t>
        </is>
      </c>
      <c r="BM116" s="49" t="inlineStr">
        <is>
          <t>02</t>
        </is>
      </c>
      <c r="BN116" s="49" t="inlineStr">
        <is>
          <t xml:space="preserve">Supia                                   </t>
        </is>
      </c>
      <c r="BO116" s="49" t="inlineStr">
        <is>
          <t>0</t>
        </is>
      </c>
      <c r="BP116" s="49" t="inlineStr">
        <is>
          <t>NO APLICA</t>
        </is>
      </c>
      <c r="BQ116" s="49" t="inlineStr">
        <is>
          <t>0</t>
        </is>
      </c>
      <c r="BR116" s="49" t="inlineStr">
        <is>
          <t>NO APLICA</t>
        </is>
      </c>
      <c r="BS116" s="49" t="inlineStr">
        <is>
          <t>0</t>
        </is>
      </c>
      <c r="BT116" s="49" t="inlineStr">
        <is>
          <t>NO APLICA</t>
        </is>
      </c>
      <c r="BU116" s="49" t="inlineStr">
        <is>
          <t>0</t>
        </is>
      </c>
      <c r="BV116" s="49" t="inlineStr">
        <is>
          <t>NO APLICA</t>
        </is>
      </c>
      <c r="BW116" s="49" t="inlineStr">
        <is>
          <t>No</t>
        </is>
      </c>
      <c r="BX116" s="49" t="inlineStr">
        <is>
          <t xml:space="preserve">No Aplica                     </t>
        </is>
      </c>
    </row>
    <row r="117" ht="30" customHeight="1">
      <c r="A117" s="49" t="n">
        <v>75097562</v>
      </c>
      <c r="B117" s="49" t="inlineStr">
        <is>
          <t>012</t>
        </is>
      </c>
      <c r="C117" s="49" t="n">
        <v>75097562</v>
      </c>
      <c r="D117" s="49" t="inlineStr">
        <is>
          <t>CC</t>
        </is>
      </c>
      <c r="E117" s="49" t="inlineStr">
        <is>
          <t>CASTAÑO CASTRO MARIO ANDRES</t>
        </is>
      </c>
      <c r="F117" s="49" t="inlineStr">
        <is>
          <t>M</t>
        </is>
      </c>
      <c r="G117" s="49" t="inlineStr">
        <is>
          <t xml:space="preserve">O  </t>
        </is>
      </c>
      <c r="H117" s="49" t="inlineStr">
        <is>
          <t>+</t>
        </is>
      </c>
      <c r="I117" s="49" t="inlineStr">
        <is>
          <t>UNION LIBRE</t>
        </is>
      </c>
      <c r="J117" s="49" t="inlineStr">
        <is>
          <t xml:space="preserve">MANIZALES                     </t>
        </is>
      </c>
      <c r="K117" s="49" t="n">
        <v>0</v>
      </c>
      <c r="L117" s="49" t="inlineStr">
        <is>
          <t>06/04/1981</t>
        </is>
      </c>
      <c r="M117" s="49" t="inlineStr">
        <is>
          <t xml:space="preserve">SUPIA                         </t>
        </is>
      </c>
      <c r="N117" s="49" t="inlineStr">
        <is>
          <t xml:space="preserve">3155803002          </t>
        </is>
      </c>
      <c r="O117" s="49" t="inlineStr">
        <is>
          <t>3155803002</t>
        </is>
      </c>
      <c r="P117" s="49" t="inlineStr">
        <is>
          <t xml:space="preserve">Calle 69 9a 85 apto 681                 </t>
        </is>
      </c>
      <c r="Q117" s="49" t="inlineStr">
        <is>
          <t>m.castano@collectivemining.com</t>
        </is>
      </c>
      <c r="R117" s="49" t="inlineStr">
        <is>
          <t>COORDINADOR RECONOCIMIENTO Y NUEVOS PROYECTOS</t>
        </is>
      </c>
      <c r="S117" s="108" t="n">
        <v>91.66666600000001</v>
      </c>
      <c r="T117" s="108" t="n">
        <v>0</v>
      </c>
      <c r="U117" s="108" t="n">
        <v>220</v>
      </c>
      <c r="V117" s="49" t="inlineStr">
        <is>
          <t>CONSIG. CTA AHORROS</t>
        </is>
      </c>
      <c r="W117" s="49" t="inlineStr">
        <is>
          <t xml:space="preserve">BANCO DAVIVIENDA S.A.         </t>
        </is>
      </c>
      <c r="X117" s="49" t="inlineStr">
        <is>
          <t xml:space="preserve">128100026458             </t>
        </is>
      </c>
      <c r="Y117" s="49" t="inlineStr">
        <is>
          <t xml:space="preserve">NO APLICA                     </t>
        </is>
      </c>
      <c r="Z117" s="49" t="inlineStr">
        <is>
          <t>CM0100-EXP</t>
        </is>
      </c>
      <c r="AA117" s="49" t="inlineStr">
        <is>
          <t>CM0100-EXP</t>
        </is>
      </c>
      <c r="AB117" s="49" t="inlineStr">
        <is>
          <t xml:space="preserve">01 </t>
        </is>
      </c>
      <c r="AC117" s="49" t="inlineStr">
        <is>
          <t xml:space="preserve">0               </t>
        </is>
      </c>
      <c r="AD117" s="49" t="inlineStr">
        <is>
          <t>LEY 50</t>
        </is>
      </c>
      <c r="AE117" s="49" t="inlineStr">
        <is>
          <t>No</t>
        </is>
      </c>
      <c r="AF117" s="49" t="inlineStr">
        <is>
          <t>Normal</t>
        </is>
      </c>
      <c r="AG117" s="49" t="n"/>
      <c r="AH117" s="49" t="inlineStr">
        <is>
          <t>Si</t>
        </is>
      </c>
      <c r="AI117" s="49" t="inlineStr">
        <is>
          <t xml:space="preserve">Normal              </t>
        </is>
      </c>
      <c r="AJ117" s="49" t="inlineStr">
        <is>
          <t xml:space="preserve">Quincenal                     </t>
        </is>
      </c>
      <c r="AK117" s="49" t="inlineStr">
        <is>
          <t>NO</t>
        </is>
      </c>
      <c r="AL117" s="49" t="inlineStr">
        <is>
          <t>NO</t>
        </is>
      </c>
      <c r="AM117" s="49" t="inlineStr">
        <is>
          <t>15/03/2021</t>
        </is>
      </c>
      <c r="AN117" s="49" t="n"/>
      <c r="AO117" s="49" t="n"/>
      <c r="AP117" s="49" t="inlineStr">
        <is>
          <t xml:space="preserve">NO APLICA                </t>
        </is>
      </c>
      <c r="AQ117" s="49" t="n">
        <v>74</v>
      </c>
      <c r="AR117" s="49" t="inlineStr">
        <is>
          <t>01</t>
        </is>
      </c>
      <c r="AS117" s="49" t="n">
        <v>1</v>
      </c>
      <c r="AT117" s="49" t="inlineStr">
        <is>
          <t>No</t>
        </is>
      </c>
      <c r="AU117" s="49" t="n">
        <v>0</v>
      </c>
      <c r="AV117" s="108" t="n">
        <v>0</v>
      </c>
      <c r="AW117" s="108" t="n">
        <v>0</v>
      </c>
      <c r="AX117" s="108" t="n">
        <v>0</v>
      </c>
      <c r="AY117" s="49" t="inlineStr">
        <is>
          <t>No</t>
        </is>
      </c>
      <c r="AZ117" s="49" t="n">
        <v>461513</v>
      </c>
      <c r="BA117" s="49" t="inlineStr">
        <is>
          <t>SURA E.P.S.</t>
        </is>
      </c>
      <c r="BB117" s="49" t="inlineStr">
        <is>
          <t>COLPENSIONES - I.S.S. PENSION</t>
        </is>
      </c>
      <c r="BC117" s="49" t="inlineStr">
        <is>
          <t>CCF DE CALDAS</t>
        </is>
      </c>
      <c r="BD117" s="49" t="inlineStr">
        <is>
          <t>RIESGOS PROFESIONALES COLMENA S.A.</t>
        </is>
      </c>
      <c r="BE117" s="49" t="inlineStr">
        <is>
          <t>PORVENIR CESANTIAS</t>
        </is>
      </c>
      <c r="BF117" s="49" t="n">
        <v>6.96</v>
      </c>
      <c r="BG117" s="49" t="n">
        <v>220</v>
      </c>
      <c r="BH117" s="49" t="n">
        <v>15</v>
      </c>
      <c r="BI117" s="49" t="inlineStr">
        <is>
          <t xml:space="preserve">0           </t>
        </is>
      </c>
      <c r="BJ117" s="49" t="inlineStr">
        <is>
          <t xml:space="preserve">NO APLICA                               </t>
        </is>
      </c>
      <c r="BK117" s="49" t="inlineStr">
        <is>
          <t>02</t>
        </is>
      </c>
      <c r="BL117" s="49" t="inlineStr">
        <is>
          <t xml:space="preserve">Caldas                                  </t>
        </is>
      </c>
      <c r="BM117" s="49" t="inlineStr">
        <is>
          <t>02</t>
        </is>
      </c>
      <c r="BN117" s="49" t="inlineStr">
        <is>
          <t xml:space="preserve">Supia                                   </t>
        </is>
      </c>
      <c r="BO117" s="49" t="inlineStr">
        <is>
          <t>0</t>
        </is>
      </c>
      <c r="BP117" s="49" t="inlineStr">
        <is>
          <t>NO APLICA</t>
        </is>
      </c>
      <c r="BQ117" s="49" t="inlineStr">
        <is>
          <t>0</t>
        </is>
      </c>
      <c r="BR117" s="49" t="inlineStr">
        <is>
          <t>NO APLICA</t>
        </is>
      </c>
      <c r="BS117" s="49" t="inlineStr">
        <is>
          <t>0</t>
        </is>
      </c>
      <c r="BT117" s="49" t="inlineStr">
        <is>
          <t>NO APLICA</t>
        </is>
      </c>
      <c r="BU117" s="49" t="inlineStr">
        <is>
          <t>0</t>
        </is>
      </c>
      <c r="BV117" s="49" t="inlineStr">
        <is>
          <t>NO APLICA</t>
        </is>
      </c>
      <c r="BW117" s="49" t="inlineStr">
        <is>
          <t>No</t>
        </is>
      </c>
      <c r="BX117" s="49" t="inlineStr">
        <is>
          <t xml:space="preserve">No Aplica                     </t>
        </is>
      </c>
    </row>
    <row r="118" ht="15" customHeight="1">
      <c r="A118" s="49" t="n">
        <v>75102710</v>
      </c>
      <c r="B118" s="49" t="inlineStr">
        <is>
          <t>013</t>
        </is>
      </c>
      <c r="C118" s="49" t="n">
        <v>75102710</v>
      </c>
      <c r="D118" s="49" t="inlineStr">
        <is>
          <t>CC</t>
        </is>
      </c>
      <c r="E118" s="49" t="inlineStr">
        <is>
          <t>SUAREZ GOMEZ ALEJANDRO</t>
        </is>
      </c>
      <c r="F118" s="49" t="inlineStr">
        <is>
          <t>M</t>
        </is>
      </c>
      <c r="G118" s="49" t="inlineStr">
        <is>
          <t xml:space="preserve">O  </t>
        </is>
      </c>
      <c r="H118" s="49" t="inlineStr">
        <is>
          <t>+</t>
        </is>
      </c>
      <c r="I118" s="49" t="inlineStr">
        <is>
          <t>CASADO</t>
        </is>
      </c>
      <c r="J118" s="49" t="inlineStr">
        <is>
          <t xml:space="preserve">MANIZALES                     </t>
        </is>
      </c>
      <c r="K118" s="49" t="n">
        <v>0</v>
      </c>
      <c r="L118" s="49" t="inlineStr">
        <is>
          <t>05/11/1984</t>
        </is>
      </c>
      <c r="M118" s="49" t="inlineStr">
        <is>
          <t xml:space="preserve">SUPIA                         </t>
        </is>
      </c>
      <c r="N118" s="49" t="inlineStr">
        <is>
          <t xml:space="preserve">3117999465          </t>
        </is>
      </c>
      <c r="O118" s="49" t="inlineStr">
        <is>
          <t>3117999465</t>
        </is>
      </c>
      <c r="P118" s="49" t="inlineStr">
        <is>
          <t xml:space="preserve">Cra 8 # 42  62                          </t>
        </is>
      </c>
      <c r="Q118" s="49" t="inlineStr">
        <is>
          <t>alsuago@hotmail.com</t>
        </is>
      </c>
      <c r="R118" s="49" t="inlineStr">
        <is>
          <t>GEOLOGO (A) SENIOR</t>
        </is>
      </c>
      <c r="S118" s="108" t="n">
        <v>91.66666600000001</v>
      </c>
      <c r="T118" s="108" t="n">
        <v>0</v>
      </c>
      <c r="U118" s="108" t="n">
        <v>220</v>
      </c>
      <c r="V118" s="49" t="inlineStr">
        <is>
          <t>CONSIG. CTA AHORROS</t>
        </is>
      </c>
      <c r="W118" s="49" t="inlineStr">
        <is>
          <t xml:space="preserve">BANCOLOMBIA S.A.              </t>
        </is>
      </c>
      <c r="X118" s="49" t="inlineStr">
        <is>
          <t xml:space="preserve">85957131897              </t>
        </is>
      </c>
      <c r="Y118" s="49" t="inlineStr">
        <is>
          <t xml:space="preserve">NO APLICA                     </t>
        </is>
      </c>
      <c r="Z118" s="49" t="inlineStr">
        <is>
          <t>CM0100-EXP</t>
        </is>
      </c>
      <c r="AA118" s="49" t="inlineStr">
        <is>
          <t>CM0100-EXP</t>
        </is>
      </c>
      <c r="AB118" s="49" t="inlineStr">
        <is>
          <t xml:space="preserve">01 </t>
        </is>
      </c>
      <c r="AC118" s="49" t="inlineStr">
        <is>
          <t xml:space="preserve">0               </t>
        </is>
      </c>
      <c r="AD118" s="49" t="inlineStr">
        <is>
          <t>LEY 50</t>
        </is>
      </c>
      <c r="AE118" s="49" t="inlineStr">
        <is>
          <t>No</t>
        </is>
      </c>
      <c r="AF118" s="49" t="inlineStr">
        <is>
          <t>Normal</t>
        </is>
      </c>
      <c r="AG118" s="49" t="n"/>
      <c r="AH118" s="49" t="inlineStr">
        <is>
          <t>Si</t>
        </is>
      </c>
      <c r="AI118" s="49" t="inlineStr">
        <is>
          <t xml:space="preserve">Normal              </t>
        </is>
      </c>
      <c r="AJ118" s="49" t="inlineStr">
        <is>
          <t xml:space="preserve">Quincenal                     </t>
        </is>
      </c>
      <c r="AK118" s="49" t="inlineStr">
        <is>
          <t>NO</t>
        </is>
      </c>
      <c r="AL118" s="49" t="inlineStr">
        <is>
          <t>NO</t>
        </is>
      </c>
      <c r="AM118" s="49" t="inlineStr">
        <is>
          <t>05/05/2021</t>
        </is>
      </c>
      <c r="AN118" s="49" t="n"/>
      <c r="AO118" s="49" t="n"/>
      <c r="AP118" s="49" t="inlineStr">
        <is>
          <t xml:space="preserve">NO APLICA                </t>
        </is>
      </c>
      <c r="AQ118" s="49" t="n">
        <v>75</v>
      </c>
      <c r="AR118" s="49" t="inlineStr">
        <is>
          <t>03</t>
        </is>
      </c>
      <c r="AS118" s="49" t="n">
        <v>1</v>
      </c>
      <c r="AT118" s="49" t="inlineStr">
        <is>
          <t>No</t>
        </is>
      </c>
      <c r="AU118" s="49" t="n">
        <v>0</v>
      </c>
      <c r="AV118" s="108" t="n">
        <v>32800</v>
      </c>
      <c r="AW118" s="108" t="n">
        <v>325975</v>
      </c>
      <c r="AX118" s="108" t="n">
        <v>1</v>
      </c>
      <c r="AY118" s="49" t="inlineStr">
        <is>
          <t>No</t>
        </is>
      </c>
      <c r="AZ118" s="49" t="n">
        <v>399957</v>
      </c>
      <c r="BA118" s="49" t="inlineStr">
        <is>
          <t>SURA E.P.S.</t>
        </is>
      </c>
      <c r="BB118" s="49" t="inlineStr">
        <is>
          <t>COLPENSIONES - I.S.S. PENSION</t>
        </is>
      </c>
      <c r="BC118" s="49" t="inlineStr">
        <is>
          <t>CCF DE CALDAS</t>
        </is>
      </c>
      <c r="BD118" s="49" t="inlineStr">
        <is>
          <t>RIESGOS PROFESIONALES COLMENA S.A.</t>
        </is>
      </c>
      <c r="BE118" s="49" t="inlineStr">
        <is>
          <t>PORVENIR CESANTIAS</t>
        </is>
      </c>
      <c r="BF118" s="49" t="n">
        <v>6.96</v>
      </c>
      <c r="BG118" s="49" t="n">
        <v>220</v>
      </c>
      <c r="BH118" s="49" t="n">
        <v>15</v>
      </c>
      <c r="BI118" s="49" t="inlineStr">
        <is>
          <t xml:space="preserve">0           </t>
        </is>
      </c>
      <c r="BJ118" s="49" t="inlineStr">
        <is>
          <t xml:space="preserve">NO APLICA                               </t>
        </is>
      </c>
      <c r="BK118" s="49" t="inlineStr">
        <is>
          <t>02</t>
        </is>
      </c>
      <c r="BL118" s="49" t="inlineStr">
        <is>
          <t xml:space="preserve">Caldas                                  </t>
        </is>
      </c>
      <c r="BM118" s="49" t="inlineStr">
        <is>
          <t>02</t>
        </is>
      </c>
      <c r="BN118" s="49" t="inlineStr">
        <is>
          <t xml:space="preserve">Supia                                   </t>
        </is>
      </c>
      <c r="BO118" s="49" t="inlineStr">
        <is>
          <t>0</t>
        </is>
      </c>
      <c r="BP118" s="49" t="inlineStr">
        <is>
          <t>NO APLICA</t>
        </is>
      </c>
      <c r="BQ118" s="49" t="inlineStr">
        <is>
          <t>0</t>
        </is>
      </c>
      <c r="BR118" s="49" t="inlineStr">
        <is>
          <t>NO APLICA</t>
        </is>
      </c>
      <c r="BS118" s="49" t="inlineStr">
        <is>
          <t>0</t>
        </is>
      </c>
      <c r="BT118" s="49" t="inlineStr">
        <is>
          <t>NO APLICA</t>
        </is>
      </c>
      <c r="BU118" s="49" t="inlineStr">
        <is>
          <t>0</t>
        </is>
      </c>
      <c r="BV118" s="49" t="inlineStr">
        <is>
          <t>NO APLICA</t>
        </is>
      </c>
      <c r="BW118" s="49" t="inlineStr">
        <is>
          <t>No</t>
        </is>
      </c>
      <c r="BX118" s="49" t="inlineStr">
        <is>
          <t xml:space="preserve">No Aplica                     </t>
        </is>
      </c>
    </row>
    <row r="119" ht="30" customHeight="1">
      <c r="A119" s="49" t="n">
        <v>75103216</v>
      </c>
      <c r="B119" s="49" t="inlineStr">
        <is>
          <t>096</t>
        </is>
      </c>
      <c r="C119" s="49" t="n">
        <v>75103216</v>
      </c>
      <c r="D119" s="49" t="inlineStr">
        <is>
          <t>CC</t>
        </is>
      </c>
      <c r="E119" s="49" t="inlineStr">
        <is>
          <t>OSPINA HINCAPIE HECTOR DAVID</t>
        </is>
      </c>
      <c r="F119" s="49" t="inlineStr">
        <is>
          <t>M</t>
        </is>
      </c>
      <c r="G119" s="49" t="inlineStr">
        <is>
          <t xml:space="preserve">A  </t>
        </is>
      </c>
      <c r="H119" s="49" t="inlineStr">
        <is>
          <t>+</t>
        </is>
      </c>
      <c r="I119" s="49" t="inlineStr">
        <is>
          <t>DESCONOCIDO</t>
        </is>
      </c>
      <c r="J119" s="49" t="inlineStr">
        <is>
          <t xml:space="preserve">MANIZALES                     </t>
        </is>
      </c>
      <c r="K119" s="49" t="n">
        <v>0</v>
      </c>
      <c r="L119" s="49" t="inlineStr">
        <is>
          <t>07/12/1984</t>
        </is>
      </c>
      <c r="M119" s="49" t="inlineStr">
        <is>
          <t xml:space="preserve">SUPIA                         </t>
        </is>
      </c>
      <c r="N119" s="49" t="inlineStr">
        <is>
          <t xml:space="preserve">0                   </t>
        </is>
      </c>
      <c r="O119" s="49" t="inlineStr">
        <is>
          <t>3104461722</t>
        </is>
      </c>
      <c r="P119" s="49" t="inlineStr">
        <is>
          <t>AV 19 12 20</t>
        </is>
      </c>
      <c r="Q119" s="49" t="inlineStr">
        <is>
          <t>hd84geologo@gmail.com</t>
        </is>
      </c>
      <c r="R119" s="49" t="inlineStr">
        <is>
          <t>COORDINADOR DE PERFORACIÓN Y LOGUEO</t>
        </is>
      </c>
      <c r="S119" s="108" t="n">
        <v>91.66666600000001</v>
      </c>
      <c r="T119" s="108" t="n">
        <v>0</v>
      </c>
      <c r="U119" s="108" t="n">
        <v>220</v>
      </c>
      <c r="V119" s="49" t="inlineStr">
        <is>
          <t>CONSIG. CTA AHORROS</t>
        </is>
      </c>
      <c r="W119" s="49" t="inlineStr">
        <is>
          <t xml:space="preserve">BANCOLOMBIA S.A.              </t>
        </is>
      </c>
      <c r="X119" s="49" t="inlineStr">
        <is>
          <t xml:space="preserve">24557214425              </t>
        </is>
      </c>
      <c r="Y119" s="49" t="inlineStr">
        <is>
          <t xml:space="preserve">NO APLICA                     </t>
        </is>
      </c>
      <c r="Z119" s="49" t="inlineStr">
        <is>
          <t>CM0100-EXP</t>
        </is>
      </c>
      <c r="AA119" s="49" t="inlineStr">
        <is>
          <t>CM0100-EXP</t>
        </is>
      </c>
      <c r="AB119" s="49" t="inlineStr">
        <is>
          <t xml:space="preserve">01 </t>
        </is>
      </c>
      <c r="AC119" s="49" t="inlineStr">
        <is>
          <t xml:space="preserve">                </t>
        </is>
      </c>
      <c r="AD119" s="49" t="inlineStr">
        <is>
          <t>LEY 50</t>
        </is>
      </c>
      <c r="AE119" s="49" t="inlineStr">
        <is>
          <t>No</t>
        </is>
      </c>
      <c r="AF119" s="49" t="inlineStr">
        <is>
          <t>Normal</t>
        </is>
      </c>
      <c r="AG119" s="49" t="n"/>
      <c r="AH119" s="49" t="inlineStr">
        <is>
          <t>Si</t>
        </is>
      </c>
      <c r="AI119" s="49" t="inlineStr">
        <is>
          <t xml:space="preserve">Normal              </t>
        </is>
      </c>
      <c r="AJ119" s="49" t="inlineStr">
        <is>
          <t xml:space="preserve">Quincenal                     </t>
        </is>
      </c>
      <c r="AK119" s="49" t="inlineStr">
        <is>
          <t>NO</t>
        </is>
      </c>
      <c r="AL119" s="49" t="inlineStr">
        <is>
          <t>NO</t>
        </is>
      </c>
      <c r="AM119" s="49" t="inlineStr">
        <is>
          <t>02/12/2024</t>
        </is>
      </c>
      <c r="AN119" s="49" t="n"/>
      <c r="AO119" s="49" t="n"/>
      <c r="AP119" s="49" t="inlineStr">
        <is>
          <t xml:space="preserve">NO APLICA                </t>
        </is>
      </c>
      <c r="AQ119" s="49" t="n">
        <v>154</v>
      </c>
      <c r="AR119" s="49" t="inlineStr">
        <is>
          <t>01</t>
        </is>
      </c>
      <c r="AS119" s="49" t="n">
        <v>1</v>
      </c>
      <c r="AT119" s="49" t="inlineStr">
        <is>
          <t>No</t>
        </is>
      </c>
      <c r="AU119" s="49" t="n">
        <v>0</v>
      </c>
      <c r="AV119" s="108" t="n">
        <v>0</v>
      </c>
      <c r="AW119" s="108" t="n">
        <v>0</v>
      </c>
      <c r="AX119" s="108" t="n">
        <v>0</v>
      </c>
      <c r="AY119" s="49" t="inlineStr">
        <is>
          <t>No</t>
        </is>
      </c>
      <c r="AZ119" s="49" t="n">
        <v>364905</v>
      </c>
      <c r="BA119" s="49" t="inlineStr">
        <is>
          <t>SURA E.P.S.</t>
        </is>
      </c>
      <c r="BB119" s="49" t="inlineStr">
        <is>
          <t>PORVENIR A.F.P.</t>
        </is>
      </c>
      <c r="BC119" s="49" t="inlineStr">
        <is>
          <t>CCF DE CALDAS</t>
        </is>
      </c>
      <c r="BD119" s="49" t="inlineStr">
        <is>
          <t>RIESGOS PROFESIONALES COLMENA S.A.</t>
        </is>
      </c>
      <c r="BE119" s="49" t="inlineStr">
        <is>
          <t>PORVENIR CESANTIAS</t>
        </is>
      </c>
      <c r="BF119" s="49" t="n">
        <v>6.96</v>
      </c>
      <c r="BG119" s="49" t="n">
        <v>220</v>
      </c>
      <c r="BH119" s="49" t="n">
        <v>15</v>
      </c>
      <c r="BI119" s="49" t="inlineStr">
        <is>
          <t xml:space="preserve">0           </t>
        </is>
      </c>
      <c r="BJ119" s="49" t="inlineStr">
        <is>
          <t xml:space="preserve">NO APLICA                               </t>
        </is>
      </c>
      <c r="BK119" s="49" t="inlineStr">
        <is>
          <t>02</t>
        </is>
      </c>
      <c r="BL119" s="49" t="inlineStr">
        <is>
          <t xml:space="preserve">Caldas                                  </t>
        </is>
      </c>
      <c r="BM119" s="49" t="inlineStr">
        <is>
          <t>02</t>
        </is>
      </c>
      <c r="BN119" s="49" t="inlineStr">
        <is>
          <t xml:space="preserve">Supia                                   </t>
        </is>
      </c>
      <c r="BO119" s="49" t="inlineStr">
        <is>
          <t>0</t>
        </is>
      </c>
      <c r="BP119" s="49" t="inlineStr">
        <is>
          <t>NO APLICA</t>
        </is>
      </c>
      <c r="BQ119" s="49" t="inlineStr">
        <is>
          <t>0</t>
        </is>
      </c>
      <c r="BR119" s="49" t="inlineStr">
        <is>
          <t>NO APLICA</t>
        </is>
      </c>
      <c r="BS119" s="49" t="inlineStr">
        <is>
          <t>0</t>
        </is>
      </c>
      <c r="BT119" s="49" t="inlineStr">
        <is>
          <t>NO APLICA</t>
        </is>
      </c>
      <c r="BU119" s="49" t="inlineStr">
        <is>
          <t>0</t>
        </is>
      </c>
      <c r="BV119" s="49" t="inlineStr">
        <is>
          <t>NO APLICA</t>
        </is>
      </c>
      <c r="BW119" s="49" t="inlineStr">
        <is>
          <t>No</t>
        </is>
      </c>
      <c r="BX119" s="49" t="inlineStr">
        <is>
          <t xml:space="preserve">No Aplica                     </t>
        </is>
      </c>
    </row>
    <row r="120" ht="22.5" customHeight="1">
      <c r="A120" s="49" t="n">
        <v>75103472</v>
      </c>
      <c r="B120" s="49" t="inlineStr">
        <is>
          <t xml:space="preserve"> 112</t>
        </is>
      </c>
      <c r="C120" s="49" t="n">
        <v>75103472</v>
      </c>
      <c r="D120" s="49" t="inlineStr">
        <is>
          <t>CC</t>
        </is>
      </c>
      <c r="E120" s="49" t="inlineStr">
        <is>
          <t>CANAS FRANCO DIEGO EDISON</t>
        </is>
      </c>
      <c r="F120" s="49" t="inlineStr">
        <is>
          <t>M</t>
        </is>
      </c>
      <c r="G120" s="49" t="inlineStr">
        <is>
          <t xml:space="preserve">A  </t>
        </is>
      </c>
      <c r="H120" s="49" t="inlineStr">
        <is>
          <t>+</t>
        </is>
      </c>
      <c r="I120" s="49" t="inlineStr">
        <is>
          <t>DESCONOCIDO</t>
        </is>
      </c>
      <c r="J120" s="49" t="inlineStr">
        <is>
          <t xml:space="preserve">MANIZALES                     </t>
        </is>
      </c>
      <c r="K120" s="49" t="n">
        <v>0</v>
      </c>
      <c r="L120" s="49" t="inlineStr">
        <is>
          <t>31/12/1984</t>
        </is>
      </c>
      <c r="M120" s="49" t="inlineStr">
        <is>
          <t xml:space="preserve">SUPIA                         </t>
        </is>
      </c>
      <c r="N120" s="49" t="inlineStr">
        <is>
          <t xml:space="preserve">0                   </t>
        </is>
      </c>
      <c r="O120" s="49" t="inlineStr">
        <is>
          <t>3165328720</t>
        </is>
      </c>
      <c r="P120" s="49" t="inlineStr">
        <is>
          <t>CL 48 G2 1 35</t>
        </is>
      </c>
      <c r="Q120" s="49" t="inlineStr">
        <is>
          <t>geopaisadc@gmail.com</t>
        </is>
      </c>
      <c r="R120" s="49" t="inlineStr">
        <is>
          <t>GEOLOGO DE FORMALIZACION</t>
        </is>
      </c>
      <c r="S120" s="108" t="n">
        <v>91.66666600000001</v>
      </c>
      <c r="T120" s="108" t="n">
        <v>0</v>
      </c>
      <c r="U120" s="108" t="n">
        <v>220</v>
      </c>
      <c r="V120" s="49" t="inlineStr">
        <is>
          <t>CONSIG. CTA AHORROS</t>
        </is>
      </c>
      <c r="W120" s="49" t="inlineStr">
        <is>
          <t xml:space="preserve">BANCOLOMBIA S.A.              </t>
        </is>
      </c>
      <c r="X120" s="49" t="inlineStr">
        <is>
          <t xml:space="preserve">60576676690              </t>
        </is>
      </c>
      <c r="Y120" s="49" t="inlineStr">
        <is>
          <t xml:space="preserve">NO APLICA                     </t>
        </is>
      </c>
      <c r="Z120" s="49" t="inlineStr">
        <is>
          <t>CM0203-ESG</t>
        </is>
      </c>
      <c r="AA120" s="49" t="inlineStr">
        <is>
          <t>CM0203-ESGFORM</t>
        </is>
      </c>
      <c r="AB120" s="49" t="inlineStr">
        <is>
          <t xml:space="preserve">01 </t>
        </is>
      </c>
      <c r="AC120" s="49" t="inlineStr">
        <is>
          <t xml:space="preserve">                </t>
        </is>
      </c>
      <c r="AD120" s="49" t="inlineStr">
        <is>
          <t>LEY 50</t>
        </is>
      </c>
      <c r="AE120" s="49" t="inlineStr">
        <is>
          <t>No</t>
        </is>
      </c>
      <c r="AF120" s="49" t="inlineStr">
        <is>
          <t>Normal</t>
        </is>
      </c>
      <c r="AG120" s="49" t="n"/>
      <c r="AH120" s="49" t="inlineStr">
        <is>
          <t>Si</t>
        </is>
      </c>
      <c r="AI120" s="49" t="inlineStr">
        <is>
          <t xml:space="preserve">Normal              </t>
        </is>
      </c>
      <c r="AJ120" s="49" t="inlineStr">
        <is>
          <t xml:space="preserve">Quincenal                     </t>
        </is>
      </c>
      <c r="AK120" s="49" t="inlineStr">
        <is>
          <t>NO</t>
        </is>
      </c>
      <c r="AL120" s="49" t="inlineStr">
        <is>
          <t>NO</t>
        </is>
      </c>
      <c r="AM120" s="49" t="inlineStr">
        <is>
          <t>26/03/2025</t>
        </is>
      </c>
      <c r="AN120" s="49" t="n"/>
      <c r="AO120" s="49" t="n"/>
      <c r="AP120" s="49" t="inlineStr">
        <is>
          <t xml:space="preserve">NO APLICA                </t>
        </is>
      </c>
      <c r="AQ120" s="49" t="n">
        <v>171</v>
      </c>
      <c r="AR120" s="49" t="inlineStr">
        <is>
          <t>01</t>
        </is>
      </c>
      <c r="AS120" s="49" t="n">
        <v>1</v>
      </c>
      <c r="AT120" s="49" t="inlineStr">
        <is>
          <t>No</t>
        </is>
      </c>
      <c r="AU120" s="49" t="n">
        <v>0</v>
      </c>
      <c r="AV120" s="108" t="n">
        <v>0</v>
      </c>
      <c r="AW120" s="108" t="n">
        <v>0</v>
      </c>
      <c r="AX120" s="108" t="n">
        <v>0</v>
      </c>
      <c r="AY120" s="49" t="inlineStr">
        <is>
          <t>No</t>
        </is>
      </c>
      <c r="AZ120" s="49" t="n">
        <v>0</v>
      </c>
      <c r="BA120" s="49" t="inlineStr">
        <is>
          <t>SALUD TOTAL E.P.S.</t>
        </is>
      </c>
      <c r="BB120" s="49" t="inlineStr">
        <is>
          <t>PROTECCION A.F.P</t>
        </is>
      </c>
      <c r="BC120" s="49" t="inlineStr">
        <is>
          <t>CCF DE CALDAS</t>
        </is>
      </c>
      <c r="BD120" s="49" t="inlineStr">
        <is>
          <t>RIESGOS PROFESIONALES COLMENA S.A.</t>
        </is>
      </c>
      <c r="BE120" s="49" t="inlineStr">
        <is>
          <t>PROTECCION CESANTIAS</t>
        </is>
      </c>
      <c r="BF120" s="49" t="n">
        <v>6.96</v>
      </c>
      <c r="BG120" s="49" t="n">
        <v>220</v>
      </c>
      <c r="BH120" s="49" t="n">
        <v>15</v>
      </c>
      <c r="BI120" s="49" t="inlineStr">
        <is>
          <t xml:space="preserve">0           </t>
        </is>
      </c>
      <c r="BJ120" s="49" t="inlineStr">
        <is>
          <t xml:space="preserve">NO APLICA                               </t>
        </is>
      </c>
      <c r="BK120" s="49" t="inlineStr">
        <is>
          <t>02</t>
        </is>
      </c>
      <c r="BL120" s="49" t="inlineStr">
        <is>
          <t xml:space="preserve">Caldas                                  </t>
        </is>
      </c>
      <c r="BM120" s="49" t="inlineStr">
        <is>
          <t>02</t>
        </is>
      </c>
      <c r="BN120" s="49" t="inlineStr">
        <is>
          <t xml:space="preserve">Supia                                   </t>
        </is>
      </c>
      <c r="BO120" s="49" t="inlineStr">
        <is>
          <t>0</t>
        </is>
      </c>
      <c r="BP120" s="49" t="inlineStr">
        <is>
          <t>NO APLICA</t>
        </is>
      </c>
      <c r="BQ120" s="49" t="inlineStr">
        <is>
          <t>0</t>
        </is>
      </c>
      <c r="BR120" s="49" t="inlineStr">
        <is>
          <t>NO APLICA</t>
        </is>
      </c>
      <c r="BS120" s="49" t="inlineStr">
        <is>
          <t>0</t>
        </is>
      </c>
      <c r="BT120" s="49" t="inlineStr">
        <is>
          <t>NO APLICA</t>
        </is>
      </c>
      <c r="BU120" s="49" t="inlineStr">
        <is>
          <t>0</t>
        </is>
      </c>
      <c r="BV120" s="49" t="inlineStr">
        <is>
          <t>NO APLICA</t>
        </is>
      </c>
      <c r="BW120" s="49" t="inlineStr">
        <is>
          <t>No</t>
        </is>
      </c>
      <c r="BX120" s="49" t="inlineStr">
        <is>
          <t xml:space="preserve">No Aplica                     </t>
        </is>
      </c>
    </row>
    <row r="121" ht="30" customHeight="1">
      <c r="A121" s="49" t="n">
        <v>75107139</v>
      </c>
      <c r="B121" s="49" t="inlineStr">
        <is>
          <t>053</t>
        </is>
      </c>
      <c r="C121" s="49" t="n">
        <v>75107139</v>
      </c>
      <c r="D121" s="49" t="inlineStr">
        <is>
          <t>CC</t>
        </is>
      </c>
      <c r="E121" s="49" t="inlineStr">
        <is>
          <t>GIRALDO MORALES JONATHAN</t>
        </is>
      </c>
      <c r="F121" s="49" t="inlineStr">
        <is>
          <t>M</t>
        </is>
      </c>
      <c r="G121" s="49" t="inlineStr">
        <is>
          <t xml:space="preserve">O  </t>
        </is>
      </c>
      <c r="H121" s="49" t="inlineStr">
        <is>
          <t>+</t>
        </is>
      </c>
      <c r="I121" s="49" t="inlineStr">
        <is>
          <t>SOLTERO</t>
        </is>
      </c>
      <c r="J121" s="49" t="inlineStr">
        <is>
          <t xml:space="preserve">MANIZALES                     </t>
        </is>
      </c>
      <c r="K121" s="49" t="n">
        <v>0</v>
      </c>
      <c r="L121" s="49" t="inlineStr">
        <is>
          <t>05/08/1985</t>
        </is>
      </c>
      <c r="M121" s="49" t="inlineStr">
        <is>
          <t xml:space="preserve">MANIZALES                     </t>
        </is>
      </c>
      <c r="N121" s="49" t="inlineStr">
        <is>
          <t xml:space="preserve">NA                  </t>
        </is>
      </c>
      <c r="O121" s="49" t="inlineStr">
        <is>
          <t>3143460399</t>
        </is>
      </c>
      <c r="P121" s="49" t="inlineStr">
        <is>
          <t xml:space="preserve">CR 11 C 45 D 15 </t>
        </is>
      </c>
      <c r="Q121" s="49" t="inlineStr">
        <is>
          <t>jgiraldom_99@hotmail.es</t>
        </is>
      </c>
      <c r="R121" s="49" t="inlineStr">
        <is>
          <t>COORDINADOR DE PERFORACIÓN Y LOGUEO</t>
        </is>
      </c>
      <c r="S121" s="108" t="n">
        <v>91.66666600000001</v>
      </c>
      <c r="T121" s="108" t="n">
        <v>0</v>
      </c>
      <c r="U121" s="108" t="n">
        <v>220</v>
      </c>
      <c r="V121" s="49" t="inlineStr">
        <is>
          <t>CONSIG. CTA AHORROS</t>
        </is>
      </c>
      <c r="W121" s="49" t="inlineStr">
        <is>
          <t xml:space="preserve">BANCOLOMBIA S.A.              </t>
        </is>
      </c>
      <c r="X121" s="49" t="inlineStr">
        <is>
          <t xml:space="preserve">43069362444              </t>
        </is>
      </c>
      <c r="Y121" s="49" t="inlineStr">
        <is>
          <t xml:space="preserve">NO APLICA                     </t>
        </is>
      </c>
      <c r="Z121" s="49" t="inlineStr">
        <is>
          <t>CM0100-EXP</t>
        </is>
      </c>
      <c r="AA121" s="49" t="inlineStr">
        <is>
          <t>CM0100-EXP</t>
        </is>
      </c>
      <c r="AB121" s="49" t="inlineStr">
        <is>
          <t xml:space="preserve">01 </t>
        </is>
      </c>
      <c r="AC121" s="49" t="inlineStr">
        <is>
          <t xml:space="preserve">                </t>
        </is>
      </c>
      <c r="AD121" s="49" t="inlineStr">
        <is>
          <t>LEY 50</t>
        </is>
      </c>
      <c r="AE121" s="49" t="inlineStr">
        <is>
          <t>No</t>
        </is>
      </c>
      <c r="AF121" s="49" t="inlineStr">
        <is>
          <t>Normal</t>
        </is>
      </c>
      <c r="AG121" s="49" t="n"/>
      <c r="AH121" s="49" t="inlineStr">
        <is>
          <t>Si</t>
        </is>
      </c>
      <c r="AI121" s="49" t="inlineStr">
        <is>
          <t xml:space="preserve">Normal              </t>
        </is>
      </c>
      <c r="AJ121" s="49" t="inlineStr">
        <is>
          <t xml:space="preserve">Quincenal                     </t>
        </is>
      </c>
      <c r="AK121" s="49" t="inlineStr">
        <is>
          <t>NO</t>
        </is>
      </c>
      <c r="AL121" s="49" t="inlineStr">
        <is>
          <t>NO</t>
        </is>
      </c>
      <c r="AM121" s="49" t="inlineStr">
        <is>
          <t>23/05/2023</t>
        </is>
      </c>
      <c r="AN121" s="49" t="n"/>
      <c r="AO121" s="49" t="n"/>
      <c r="AP121" s="49" t="inlineStr">
        <is>
          <t xml:space="preserve">NO APLICA                </t>
        </is>
      </c>
      <c r="AQ121" s="49" t="n">
        <v>96</v>
      </c>
      <c r="AR121" s="49" t="inlineStr">
        <is>
          <t>01</t>
        </is>
      </c>
      <c r="AS121" s="49" t="n">
        <v>1</v>
      </c>
      <c r="AT121" s="49" t="inlineStr">
        <is>
          <t>No</t>
        </is>
      </c>
      <c r="AU121" s="49" t="n">
        <v>0</v>
      </c>
      <c r="AV121" s="108" t="n">
        <v>0</v>
      </c>
      <c r="AW121" s="108" t="n">
        <v>325975</v>
      </c>
      <c r="AX121" s="108" t="n">
        <v>0</v>
      </c>
      <c r="AY121" s="49" t="inlineStr">
        <is>
          <t>No</t>
        </is>
      </c>
      <c r="AZ121" s="49" t="n">
        <v>400929</v>
      </c>
      <c r="BA121" s="49" t="inlineStr">
        <is>
          <t>SURA E.P.S.</t>
        </is>
      </c>
      <c r="BB121" s="49" t="inlineStr">
        <is>
          <t>PROTECCION A.F.P</t>
        </is>
      </c>
      <c r="BC121" s="49" t="inlineStr">
        <is>
          <t>CCF DE CALDAS</t>
        </is>
      </c>
      <c r="BD121" s="49" t="inlineStr">
        <is>
          <t>RIESGOS PROFESIONALES COLMENA S.A.</t>
        </is>
      </c>
      <c r="BE121" s="49" t="inlineStr">
        <is>
          <t>PROTECCION CESANTIAS</t>
        </is>
      </c>
      <c r="BF121" s="49" t="n">
        <v>6.96</v>
      </c>
      <c r="BG121" s="49" t="n">
        <v>220</v>
      </c>
      <c r="BH121" s="49" t="n">
        <v>15</v>
      </c>
      <c r="BI121" s="49" t="inlineStr">
        <is>
          <t xml:space="preserve">0           </t>
        </is>
      </c>
      <c r="BJ121" s="49" t="inlineStr">
        <is>
          <t xml:space="preserve">NO APLICA                               </t>
        </is>
      </c>
      <c r="BK121" s="49" t="inlineStr">
        <is>
          <t>02</t>
        </is>
      </c>
      <c r="BL121" s="49" t="inlineStr">
        <is>
          <t xml:space="preserve">Caldas                                  </t>
        </is>
      </c>
      <c r="BM121" s="49" t="inlineStr">
        <is>
          <t>04</t>
        </is>
      </c>
      <c r="BN121" s="49" t="inlineStr">
        <is>
          <t xml:space="preserve">Otros Lugares                           </t>
        </is>
      </c>
      <c r="BO121" s="49" t="inlineStr">
        <is>
          <t>0</t>
        </is>
      </c>
      <c r="BP121" s="49" t="inlineStr">
        <is>
          <t>NO APLICA</t>
        </is>
      </c>
      <c r="BQ121" s="49" t="inlineStr">
        <is>
          <t>0</t>
        </is>
      </c>
      <c r="BR121" s="49" t="inlineStr">
        <is>
          <t>NO APLICA</t>
        </is>
      </c>
      <c r="BS121" s="49" t="inlineStr">
        <is>
          <t>0</t>
        </is>
      </c>
      <c r="BT121" s="49" t="inlineStr">
        <is>
          <t>NO APLICA</t>
        </is>
      </c>
      <c r="BU121" s="49" t="inlineStr">
        <is>
          <t>0</t>
        </is>
      </c>
      <c r="BV121" s="49" t="inlineStr">
        <is>
          <t>NO APLICA</t>
        </is>
      </c>
      <c r="BW121" s="49" t="inlineStr">
        <is>
          <t>No</t>
        </is>
      </c>
      <c r="BX121" s="49" t="inlineStr">
        <is>
          <t xml:space="preserve">No Aplica                     </t>
        </is>
      </c>
    </row>
    <row r="122" ht="22.5" customHeight="1">
      <c r="A122" s="49" t="n">
        <v>75144193</v>
      </c>
      <c r="B122" s="49" t="inlineStr">
        <is>
          <t>077</t>
        </is>
      </c>
      <c r="C122" s="49" t="n">
        <v>75144193</v>
      </c>
      <c r="D122" s="49" t="inlineStr">
        <is>
          <t>CC</t>
        </is>
      </c>
      <c r="E122" s="49" t="inlineStr">
        <is>
          <t>TANGARIFE GONZALEZ JORGE HUGO</t>
        </is>
      </c>
      <c r="F122" s="49" t="inlineStr">
        <is>
          <t>M</t>
        </is>
      </c>
      <c r="G122" s="49" t="inlineStr">
        <is>
          <t xml:space="preserve">A  </t>
        </is>
      </c>
      <c r="H122" s="49" t="inlineStr">
        <is>
          <t>+</t>
        </is>
      </c>
      <c r="I122" s="49" t="inlineStr">
        <is>
          <t>SOLTERO</t>
        </is>
      </c>
      <c r="J122" s="49" t="inlineStr">
        <is>
          <t xml:space="preserve">CHINCHINA                     </t>
        </is>
      </c>
      <c r="K122" s="49" t="n">
        <v>0</v>
      </c>
      <c r="L122" s="49" t="inlineStr">
        <is>
          <t>09/11/1973</t>
        </is>
      </c>
      <c r="M122" s="49" t="inlineStr">
        <is>
          <t xml:space="preserve">EL ENCANTO                    </t>
        </is>
      </c>
      <c r="N122" s="49" t="inlineStr">
        <is>
          <t xml:space="preserve">0                   </t>
        </is>
      </c>
      <c r="O122" s="49" t="inlineStr">
        <is>
          <t>3127430347</t>
        </is>
      </c>
      <c r="P122" s="49" t="inlineStr">
        <is>
          <t>Manzana 7 casa 12 progresar uno Chinchiná caldas</t>
        </is>
      </c>
      <c r="Q122" s="49" t="inlineStr">
        <is>
          <t>jorgetangarife78@gmail.com</t>
        </is>
      </c>
      <c r="R122" s="49" t="inlineStr">
        <is>
          <t>SUPERVISOR DE PROTECCIÓN</t>
        </is>
      </c>
      <c r="S122" s="108" t="n">
        <v>91.66666600000001</v>
      </c>
      <c r="T122" s="108" t="n">
        <v>0</v>
      </c>
      <c r="U122" s="108" t="n">
        <v>220</v>
      </c>
      <c r="V122" s="49" t="inlineStr">
        <is>
          <t>CONSIG. CTA AHORROS</t>
        </is>
      </c>
      <c r="W122" s="49" t="inlineStr">
        <is>
          <t xml:space="preserve">BANCO POPULAR                 </t>
        </is>
      </c>
      <c r="X122" s="49" t="inlineStr">
        <is>
          <t xml:space="preserve">230192157725             </t>
        </is>
      </c>
      <c r="Y122" s="49" t="inlineStr">
        <is>
          <t xml:space="preserve">NO APLICA                     </t>
        </is>
      </c>
      <c r="Z122" s="49" t="inlineStr">
        <is>
          <t>CM0400-PRO</t>
        </is>
      </c>
      <c r="AA122" s="49" t="inlineStr">
        <is>
          <t>CM0400-PRO</t>
        </is>
      </c>
      <c r="AB122" s="49" t="inlineStr">
        <is>
          <t xml:space="preserve">01 </t>
        </is>
      </c>
      <c r="AC122" s="49" t="inlineStr">
        <is>
          <t xml:space="preserve">                </t>
        </is>
      </c>
      <c r="AD122" s="49" t="inlineStr">
        <is>
          <t>LEY 50</t>
        </is>
      </c>
      <c r="AE122" s="49" t="inlineStr">
        <is>
          <t>No</t>
        </is>
      </c>
      <c r="AF122" s="49" t="inlineStr">
        <is>
          <t>Normal</t>
        </is>
      </c>
      <c r="AG122" s="49" t="n"/>
      <c r="AH122" s="49" t="inlineStr">
        <is>
          <t>Si</t>
        </is>
      </c>
      <c r="AI122" s="49" t="inlineStr">
        <is>
          <t xml:space="preserve">Normal              </t>
        </is>
      </c>
      <c r="AJ122" s="49" t="inlineStr">
        <is>
          <t xml:space="preserve">Quincenal                     </t>
        </is>
      </c>
      <c r="AK122" s="49" t="inlineStr">
        <is>
          <t>NO</t>
        </is>
      </c>
      <c r="AL122" s="49" t="inlineStr">
        <is>
          <t>NO</t>
        </is>
      </c>
      <c r="AM122" s="49" t="inlineStr">
        <is>
          <t>27/05/2024</t>
        </is>
      </c>
      <c r="AN122" s="49" t="n"/>
      <c r="AO122" s="49" t="n"/>
      <c r="AP122" s="49" t="inlineStr">
        <is>
          <t xml:space="preserve">NO APLICA                </t>
        </is>
      </c>
      <c r="AQ122" s="49" t="n">
        <v>135</v>
      </c>
      <c r="AR122" s="49" t="inlineStr">
        <is>
          <t>01</t>
        </is>
      </c>
      <c r="AS122" s="49" t="n">
        <v>1</v>
      </c>
      <c r="AT122" s="49" t="inlineStr">
        <is>
          <t>No</t>
        </is>
      </c>
      <c r="AU122" s="49" t="n">
        <v>0</v>
      </c>
      <c r="AV122" s="108" t="n">
        <v>0</v>
      </c>
      <c r="AW122" s="108" t="n">
        <v>0</v>
      </c>
      <c r="AX122" s="108" t="n">
        <v>1</v>
      </c>
      <c r="AY122" s="49" t="inlineStr">
        <is>
          <t>No</t>
        </is>
      </c>
      <c r="AZ122" s="49" t="n">
        <v>202614</v>
      </c>
      <c r="BA122" s="49" t="inlineStr">
        <is>
          <t>FOSYGA</t>
        </is>
      </c>
      <c r="BB122" s="49" t="inlineStr">
        <is>
          <t>PORVENIR A.F.P.</t>
        </is>
      </c>
      <c r="BC122" s="49" t="inlineStr">
        <is>
          <t>CCF DE CALDAS</t>
        </is>
      </c>
      <c r="BD122" s="49" t="inlineStr">
        <is>
          <t>RIESGOS PROFESIONALES COLMENA S.A.</t>
        </is>
      </c>
      <c r="BE122" s="49" t="inlineStr">
        <is>
          <t>PORVENIR CESANTIAS</t>
        </is>
      </c>
      <c r="BF122" s="49" t="n">
        <v>6.96</v>
      </c>
      <c r="BG122" s="49" t="n">
        <v>220</v>
      </c>
      <c r="BH122" s="49" t="n">
        <v>15</v>
      </c>
      <c r="BI122" s="49" t="inlineStr">
        <is>
          <t xml:space="preserve">0           </t>
        </is>
      </c>
      <c r="BJ122" s="49" t="inlineStr">
        <is>
          <t xml:space="preserve">NO APLICA                               </t>
        </is>
      </c>
      <c r="BK122" s="49" t="inlineStr">
        <is>
          <t>02</t>
        </is>
      </c>
      <c r="BL122" s="49" t="inlineStr">
        <is>
          <t xml:space="preserve">Caldas                                  </t>
        </is>
      </c>
      <c r="BM122" s="49" t="inlineStr">
        <is>
          <t>02</t>
        </is>
      </c>
      <c r="BN122" s="49" t="inlineStr">
        <is>
          <t xml:space="preserve">Supia                                   </t>
        </is>
      </c>
      <c r="BO122" s="49" t="inlineStr">
        <is>
          <t>0</t>
        </is>
      </c>
      <c r="BP122" s="49" t="inlineStr">
        <is>
          <t>NO APLICA</t>
        </is>
      </c>
      <c r="BQ122" s="49" t="inlineStr">
        <is>
          <t>0</t>
        </is>
      </c>
      <c r="BR122" s="49" t="inlineStr">
        <is>
          <t>NO APLICA</t>
        </is>
      </c>
      <c r="BS122" s="49" t="inlineStr">
        <is>
          <t>0</t>
        </is>
      </c>
      <c r="BT122" s="49" t="inlineStr">
        <is>
          <t>NO APLICA</t>
        </is>
      </c>
      <c r="BU122" s="49" t="inlineStr">
        <is>
          <t>0</t>
        </is>
      </c>
      <c r="BV122" s="49" t="inlineStr">
        <is>
          <t>NO APLICA</t>
        </is>
      </c>
      <c r="BW122" s="49" t="inlineStr">
        <is>
          <t>No</t>
        </is>
      </c>
      <c r="BX122" s="49" t="inlineStr">
        <is>
          <t xml:space="preserve">No Aplica                     </t>
        </is>
      </c>
    </row>
    <row r="123" ht="22.5" customHeight="1">
      <c r="A123" s="49" t="n">
        <v>79627976</v>
      </c>
      <c r="B123" s="49" t="inlineStr">
        <is>
          <t xml:space="preserve"> 157</t>
        </is>
      </c>
      <c r="C123" s="49" t="n">
        <v>79627976</v>
      </c>
      <c r="D123" s="49" t="inlineStr">
        <is>
          <t>CC</t>
        </is>
      </c>
      <c r="E123" s="49" t="inlineStr">
        <is>
          <t>SANTOS NIETO CARLOS ANDRES</t>
        </is>
      </c>
      <c r="F123" s="49" t="inlineStr">
        <is>
          <t>M</t>
        </is>
      </c>
      <c r="G123" s="49" t="inlineStr">
        <is>
          <t xml:space="preserve">A  </t>
        </is>
      </c>
      <c r="H123" s="49" t="inlineStr">
        <is>
          <t>+</t>
        </is>
      </c>
      <c r="I123" s="49" t="inlineStr">
        <is>
          <t>SOLTERO</t>
        </is>
      </c>
      <c r="J123" s="49" t="inlineStr">
        <is>
          <t xml:space="preserve">BOGOTA                        </t>
        </is>
      </c>
      <c r="K123" s="49" t="n">
        <v>0</v>
      </c>
      <c r="L123" s="49" t="inlineStr">
        <is>
          <t>30/08/1977</t>
        </is>
      </c>
      <c r="M123" s="49" t="inlineStr">
        <is>
          <t xml:space="preserve">MEDELLÍN                      </t>
        </is>
      </c>
      <c r="N123" s="49" t="inlineStr">
        <is>
          <t xml:space="preserve">0000                </t>
        </is>
      </c>
      <c r="O123" s="49" t="inlineStr">
        <is>
          <t>3102181735</t>
        </is>
      </c>
      <c r="P123" s="49" t="inlineStr">
        <is>
          <t>CRA 43 # 9 SUR- 105</t>
        </is>
      </c>
      <c r="Q123" s="49" t="inlineStr">
        <is>
          <t>casn80@hotmail.com</t>
        </is>
      </c>
      <c r="R123" s="49" t="inlineStr">
        <is>
          <t>EXECUTIVE VICE PRESIDENT</t>
        </is>
      </c>
      <c r="S123" s="108" t="n">
        <v>91.66666600000001</v>
      </c>
      <c r="T123" s="108" t="n">
        <v>0</v>
      </c>
      <c r="U123" s="108" t="n">
        <v>220</v>
      </c>
      <c r="V123" s="49" t="inlineStr">
        <is>
          <t>CONSIG. CTA AHORROS</t>
        </is>
      </c>
      <c r="W123" s="49" t="inlineStr">
        <is>
          <t xml:space="preserve">BANCOLOMBIA S.A.              </t>
        </is>
      </c>
      <c r="X123" s="49" t="inlineStr">
        <is>
          <t xml:space="preserve">60000001290              </t>
        </is>
      </c>
      <c r="Y123" s="49" t="inlineStr">
        <is>
          <t xml:space="preserve">NO APLICA                     </t>
        </is>
      </c>
      <c r="Z123" s="49" t="inlineStr">
        <is>
          <t>CM0600-PRE</t>
        </is>
      </c>
      <c r="AA123" s="49" t="inlineStr">
        <is>
          <t>CM0600-PRE</t>
        </is>
      </c>
      <c r="AB123" s="49" t="inlineStr">
        <is>
          <t xml:space="preserve">01 </t>
        </is>
      </c>
      <c r="AC123" s="49" t="inlineStr">
        <is>
          <t xml:space="preserve">                </t>
        </is>
      </c>
      <c r="AD123" s="49" t="inlineStr">
        <is>
          <t>LEY 50</t>
        </is>
      </c>
      <c r="AE123" s="49" t="inlineStr">
        <is>
          <t>No</t>
        </is>
      </c>
      <c r="AF123" s="49" t="inlineStr">
        <is>
          <t>Integral</t>
        </is>
      </c>
      <c r="AG123" s="49" t="n"/>
      <c r="AH123" s="49" t="inlineStr">
        <is>
          <t>Si</t>
        </is>
      </c>
      <c r="AI123" s="49" t="inlineStr">
        <is>
          <t xml:space="preserve">Normal              </t>
        </is>
      </c>
      <c r="AJ123" s="49" t="inlineStr">
        <is>
          <t xml:space="preserve">Quincenal                     </t>
        </is>
      </c>
      <c r="AK123" s="49" t="inlineStr">
        <is>
          <t>NO</t>
        </is>
      </c>
      <c r="AL123" s="49" t="inlineStr">
        <is>
          <t>NO</t>
        </is>
      </c>
      <c r="AM123" s="49" t="inlineStr">
        <is>
          <t>13/01/2026</t>
        </is>
      </c>
      <c r="AN123" s="49" t="n"/>
      <c r="AO123" s="49" t="n"/>
      <c r="AP123" s="49" t="inlineStr">
        <is>
          <t xml:space="preserve">NO APLICA                </t>
        </is>
      </c>
      <c r="AQ123" s="49" t="n">
        <v>218</v>
      </c>
      <c r="AR123" s="49" t="inlineStr">
        <is>
          <t>01</t>
        </is>
      </c>
      <c r="AS123" s="49" t="n">
        <v>1</v>
      </c>
      <c r="AT123" s="49" t="inlineStr">
        <is>
          <t>No</t>
        </is>
      </c>
      <c r="AU123" s="49" t="n">
        <v>0</v>
      </c>
      <c r="AV123" s="108" t="n">
        <v>0</v>
      </c>
      <c r="AW123" s="108" t="n">
        <v>0</v>
      </c>
      <c r="AX123" s="108" t="n">
        <v>0</v>
      </c>
      <c r="AY123" s="49" t="inlineStr">
        <is>
          <t>No</t>
        </is>
      </c>
      <c r="AZ123" s="49" t="n">
        <v>0</v>
      </c>
      <c r="BA123" s="49" t="inlineStr">
        <is>
          <t>SURA E.P.S.</t>
        </is>
      </c>
      <c r="BB123" s="49" t="inlineStr">
        <is>
          <t>PROTECCION A.F.P</t>
        </is>
      </c>
      <c r="BC123" s="49" t="inlineStr">
        <is>
          <t>CCF COMFENALCO ANTIOQUIA</t>
        </is>
      </c>
      <c r="BD123" s="49" t="inlineStr">
        <is>
          <t>RIESGOS PROFESIONALES COLMENA S.A.</t>
        </is>
      </c>
      <c r="BE123" s="49" t="inlineStr">
        <is>
          <t>PROTECCION CESANTIAS</t>
        </is>
      </c>
      <c r="BF123" s="49" t="n">
        <v>6.96</v>
      </c>
      <c r="BG123" s="49" t="n">
        <v>220</v>
      </c>
      <c r="BH123" s="49" t="n">
        <v>15</v>
      </c>
      <c r="BI123" s="49" t="inlineStr">
        <is>
          <t xml:space="preserve">0           </t>
        </is>
      </c>
      <c r="BJ123" s="49" t="inlineStr">
        <is>
          <t xml:space="preserve">NO APLICA                               </t>
        </is>
      </c>
      <c r="BK123" s="49" t="inlineStr">
        <is>
          <t>01</t>
        </is>
      </c>
      <c r="BL123" s="49" t="inlineStr">
        <is>
          <t xml:space="preserve">Antioquia                               </t>
        </is>
      </c>
      <c r="BM123" s="49" t="inlineStr">
        <is>
          <t>04</t>
        </is>
      </c>
      <c r="BN123" s="49" t="inlineStr">
        <is>
          <t xml:space="preserve">Otros Lugares                           </t>
        </is>
      </c>
      <c r="BO123" s="49" t="inlineStr">
        <is>
          <t>0</t>
        </is>
      </c>
      <c r="BP123" s="49" t="inlineStr">
        <is>
          <t>NO APLICA</t>
        </is>
      </c>
      <c r="BQ123" s="49" t="inlineStr">
        <is>
          <t>0</t>
        </is>
      </c>
      <c r="BR123" s="49" t="inlineStr">
        <is>
          <t>NO APLICA</t>
        </is>
      </c>
      <c r="BS123" s="49" t="inlineStr">
        <is>
          <t>0</t>
        </is>
      </c>
      <c r="BT123" s="49" t="inlineStr">
        <is>
          <t>NO APLICA</t>
        </is>
      </c>
      <c r="BU123" s="49" t="inlineStr">
        <is>
          <t>0</t>
        </is>
      </c>
      <c r="BV123" s="49" t="inlineStr">
        <is>
          <t>NO APLICA</t>
        </is>
      </c>
      <c r="BW123" s="49" t="inlineStr">
        <is>
          <t>No</t>
        </is>
      </c>
      <c r="BX123" s="49" t="inlineStr">
        <is>
          <t xml:space="preserve">No Aplica                     </t>
        </is>
      </c>
    </row>
    <row r="124" ht="22.5" customHeight="1">
      <c r="A124" s="49" t="n">
        <v>79748522</v>
      </c>
      <c r="B124" s="49" t="inlineStr">
        <is>
          <t xml:space="preserve"> 137</t>
        </is>
      </c>
      <c r="C124" s="49" t="n">
        <v>79748522</v>
      </c>
      <c r="D124" s="49" t="inlineStr">
        <is>
          <t>CC</t>
        </is>
      </c>
      <c r="E124" s="49" t="inlineStr">
        <is>
          <t>PEÑUELA GOMEZ JAIME HUMBERTO</t>
        </is>
      </c>
      <c r="F124" s="49" t="inlineStr">
        <is>
          <t>M</t>
        </is>
      </c>
      <c r="G124" s="49" t="inlineStr">
        <is>
          <t xml:space="preserve">A  </t>
        </is>
      </c>
      <c r="H124" s="49" t="inlineStr">
        <is>
          <t>+</t>
        </is>
      </c>
      <c r="I124" s="49" t="inlineStr">
        <is>
          <t>CASADO</t>
        </is>
      </c>
      <c r="J124" s="49" t="inlineStr">
        <is>
          <t xml:space="preserve">BOGOTA                        </t>
        </is>
      </c>
      <c r="K124" s="49" t="n">
        <v>0</v>
      </c>
      <c r="L124" s="49" t="inlineStr">
        <is>
          <t>20/01/1978</t>
        </is>
      </c>
      <c r="M124" s="49" t="inlineStr">
        <is>
          <t xml:space="preserve">SUPIA                         </t>
        </is>
      </c>
      <c r="N124" s="49" t="inlineStr">
        <is>
          <t xml:space="preserve">0000                </t>
        </is>
      </c>
      <c r="O124" s="49" t="inlineStr">
        <is>
          <t>3152166033</t>
        </is>
      </c>
      <c r="P124" s="49" t="inlineStr">
        <is>
          <t xml:space="preserve">CR 64ª  11 42 </t>
        </is>
      </c>
      <c r="Q124" s="49" t="inlineStr">
        <is>
          <t>JAHUPEGO@HOTMAIL.COM</t>
        </is>
      </c>
      <c r="R124" s="49" t="inlineStr">
        <is>
          <t>COORDINADOR DE PROTECCIÓN</t>
        </is>
      </c>
      <c r="S124" s="108" t="n">
        <v>91.66666600000001</v>
      </c>
      <c r="T124" s="108" t="n">
        <v>0</v>
      </c>
      <c r="U124" s="108" t="n">
        <v>220</v>
      </c>
      <c r="V124" s="49" t="inlineStr">
        <is>
          <t>CONSIG. CTA AHORROS</t>
        </is>
      </c>
      <c r="W124" s="49" t="inlineStr">
        <is>
          <t xml:space="preserve">BANCO POPULAR                 </t>
        </is>
      </c>
      <c r="X124" s="49" t="inlineStr">
        <is>
          <t xml:space="preserve">230650147036             </t>
        </is>
      </c>
      <c r="Y124" s="49" t="inlineStr">
        <is>
          <t xml:space="preserve">NO APLICA                     </t>
        </is>
      </c>
      <c r="Z124" s="49" t="inlineStr">
        <is>
          <t>CM0400-PRO</t>
        </is>
      </c>
      <c r="AA124" s="49" t="inlineStr">
        <is>
          <t>CM0400-PRO</t>
        </is>
      </c>
      <c r="AB124" s="49" t="inlineStr">
        <is>
          <t xml:space="preserve">01 </t>
        </is>
      </c>
      <c r="AC124" s="49" t="inlineStr">
        <is>
          <t xml:space="preserve">                </t>
        </is>
      </c>
      <c r="AD124" s="49" t="inlineStr">
        <is>
          <t>LEY 50</t>
        </is>
      </c>
      <c r="AE124" s="49" t="inlineStr">
        <is>
          <t>No</t>
        </is>
      </c>
      <c r="AF124" s="49" t="inlineStr">
        <is>
          <t>Normal</t>
        </is>
      </c>
      <c r="AG124" s="49" t="n"/>
      <c r="AH124" s="49" t="inlineStr">
        <is>
          <t>Si</t>
        </is>
      </c>
      <c r="AI124" s="49" t="inlineStr">
        <is>
          <t xml:space="preserve">Normal              </t>
        </is>
      </c>
      <c r="AJ124" s="49" t="inlineStr">
        <is>
          <t xml:space="preserve">Quincenal                     </t>
        </is>
      </c>
      <c r="AK124" s="49" t="inlineStr">
        <is>
          <t>NO</t>
        </is>
      </c>
      <c r="AL124" s="49" t="inlineStr">
        <is>
          <t>NO</t>
        </is>
      </c>
      <c r="AM124" s="49" t="inlineStr">
        <is>
          <t>23/09/2025</t>
        </is>
      </c>
      <c r="AN124" s="49" t="n"/>
      <c r="AO124" s="49" t="n"/>
      <c r="AP124" s="49" t="inlineStr">
        <is>
          <t xml:space="preserve">NO APLICA                </t>
        </is>
      </c>
      <c r="AQ124" s="49" t="n">
        <v>197</v>
      </c>
      <c r="AR124" s="49" t="inlineStr">
        <is>
          <t>01</t>
        </is>
      </c>
      <c r="AS124" s="49" t="n">
        <v>1</v>
      </c>
      <c r="AT124" s="49" t="inlineStr">
        <is>
          <t>No</t>
        </is>
      </c>
      <c r="AU124" s="49" t="n">
        <v>0</v>
      </c>
      <c r="AV124" s="108" t="n">
        <v>0</v>
      </c>
      <c r="AW124" s="108" t="n">
        <v>0</v>
      </c>
      <c r="AX124" s="108" t="n">
        <v>0</v>
      </c>
      <c r="AY124" s="49" t="inlineStr">
        <is>
          <t>No</t>
        </is>
      </c>
      <c r="AZ124" s="49" t="n">
        <v>0</v>
      </c>
      <c r="BA124" s="49" t="inlineStr">
        <is>
          <t>FOSYGA</t>
        </is>
      </c>
      <c r="BB124" s="49" t="inlineStr">
        <is>
          <t>COLPENSIONES - I.S.S. PENSION</t>
        </is>
      </c>
      <c r="BC124" s="49" t="inlineStr">
        <is>
          <t>CCF COMFENALCO ANTIOQUIA</t>
        </is>
      </c>
      <c r="BD124" s="49" t="inlineStr">
        <is>
          <t>RIESGOS PROFESIONALES COLMENA S.A.</t>
        </is>
      </c>
      <c r="BE124" s="49" t="inlineStr">
        <is>
          <t>PROTECCION CESANTIAS</t>
        </is>
      </c>
      <c r="BF124" s="49" t="n">
        <v>6.96</v>
      </c>
      <c r="BG124" s="49" t="n">
        <v>220</v>
      </c>
      <c r="BH124" s="49" t="n">
        <v>15</v>
      </c>
      <c r="BI124" s="49" t="inlineStr">
        <is>
          <t xml:space="preserve">0           </t>
        </is>
      </c>
      <c r="BJ124" s="49" t="inlineStr">
        <is>
          <t xml:space="preserve">NO APLICA                               </t>
        </is>
      </c>
      <c r="BK124" s="49" t="inlineStr">
        <is>
          <t>02</t>
        </is>
      </c>
      <c r="BL124" s="49" t="inlineStr">
        <is>
          <t xml:space="preserve">Caldas                                  </t>
        </is>
      </c>
      <c r="BM124" s="49" t="inlineStr">
        <is>
          <t>02</t>
        </is>
      </c>
      <c r="BN124" s="49" t="inlineStr">
        <is>
          <t xml:space="preserve">Supia                                   </t>
        </is>
      </c>
      <c r="BO124" s="49" t="inlineStr">
        <is>
          <t>0</t>
        </is>
      </c>
      <c r="BP124" s="49" t="inlineStr">
        <is>
          <t>NO APLICA</t>
        </is>
      </c>
      <c r="BQ124" s="49" t="inlineStr">
        <is>
          <t>0</t>
        </is>
      </c>
      <c r="BR124" s="49" t="inlineStr">
        <is>
          <t>NO APLICA</t>
        </is>
      </c>
      <c r="BS124" s="49" t="inlineStr">
        <is>
          <t>0</t>
        </is>
      </c>
      <c r="BT124" s="49" t="inlineStr">
        <is>
          <t>NO APLICA</t>
        </is>
      </c>
      <c r="BU124" s="49" t="inlineStr">
        <is>
          <t>0</t>
        </is>
      </c>
      <c r="BV124" s="49" t="inlineStr">
        <is>
          <t>NO APLICA</t>
        </is>
      </c>
      <c r="BW124" s="49" t="inlineStr">
        <is>
          <t>No</t>
        </is>
      </c>
      <c r="BX124" s="49" t="inlineStr">
        <is>
          <t xml:space="preserve">No Aplica                     </t>
        </is>
      </c>
    </row>
    <row r="125" ht="15" customHeight="1">
      <c r="A125" s="49" t="n">
        <v>79940849</v>
      </c>
      <c r="B125" s="49" t="inlineStr">
        <is>
          <t>083</t>
        </is>
      </c>
      <c r="C125" s="49" t="n">
        <v>79940849</v>
      </c>
      <c r="D125" s="49" t="inlineStr">
        <is>
          <t>CC</t>
        </is>
      </c>
      <c r="E125" s="49" t="inlineStr">
        <is>
          <t>CASTIBLANCO ORTIZ EDGAR</t>
        </is>
      </c>
      <c r="F125" s="49" t="inlineStr">
        <is>
          <t>M</t>
        </is>
      </c>
      <c r="G125" s="49" t="inlineStr">
        <is>
          <t xml:space="preserve">A  </t>
        </is>
      </c>
      <c r="H125" s="49" t="inlineStr">
        <is>
          <t>+</t>
        </is>
      </c>
      <c r="I125" s="49" t="inlineStr">
        <is>
          <t>UNION LIBRE</t>
        </is>
      </c>
      <c r="J125" s="49" t="inlineStr">
        <is>
          <t xml:space="preserve">BOGOTA                        </t>
        </is>
      </c>
      <c r="K125" s="49" t="n">
        <v>0</v>
      </c>
      <c r="L125" s="49" t="inlineStr">
        <is>
          <t>11/12/1976</t>
        </is>
      </c>
      <c r="M125" s="49" t="inlineStr">
        <is>
          <t xml:space="preserve">SUPIA                         </t>
        </is>
      </c>
      <c r="N125" s="49" t="inlineStr">
        <is>
          <t xml:space="preserve">0                   </t>
        </is>
      </c>
      <c r="O125" s="49" t="inlineStr">
        <is>
          <t>3132348237</t>
        </is>
      </c>
      <c r="P125" s="49" t="inlineStr">
        <is>
          <t>DG 182  20  71</t>
        </is>
      </c>
      <c r="Q125" s="49" t="inlineStr">
        <is>
          <t>ecastiblancoo@unal.edu.co</t>
        </is>
      </c>
      <c r="R125" s="49" t="inlineStr">
        <is>
          <t>GEOLOGO (A) SENIOR</t>
        </is>
      </c>
      <c r="S125" s="108" t="n">
        <v>91.66666600000001</v>
      </c>
      <c r="T125" s="108" t="n">
        <v>0</v>
      </c>
      <c r="U125" s="108" t="n">
        <v>220</v>
      </c>
      <c r="V125" s="49" t="inlineStr">
        <is>
          <t>CONSIG. CTA AHORROS</t>
        </is>
      </c>
      <c r="W125" s="49" t="inlineStr">
        <is>
          <t xml:space="preserve">BANCOLOMBIA S.A.              </t>
        </is>
      </c>
      <c r="X125" s="49" t="inlineStr">
        <is>
          <t xml:space="preserve">94400003136              </t>
        </is>
      </c>
      <c r="Y125" s="49" t="inlineStr">
        <is>
          <t xml:space="preserve">NO APLICA                     </t>
        </is>
      </c>
      <c r="Z125" s="49" t="inlineStr">
        <is>
          <t>CM0100-EXP</t>
        </is>
      </c>
      <c r="AA125" s="49" t="inlineStr">
        <is>
          <t>CM0100-EXP</t>
        </is>
      </c>
      <c r="AB125" s="49" t="inlineStr">
        <is>
          <t xml:space="preserve">01 </t>
        </is>
      </c>
      <c r="AC125" s="49" t="inlineStr">
        <is>
          <t xml:space="preserve">                </t>
        </is>
      </c>
      <c r="AD125" s="49" t="inlineStr">
        <is>
          <t>LEY 50</t>
        </is>
      </c>
      <c r="AE125" s="49" t="inlineStr">
        <is>
          <t>No</t>
        </is>
      </c>
      <c r="AF125" s="49" t="inlineStr">
        <is>
          <t>Normal</t>
        </is>
      </c>
      <c r="AG125" s="49" t="n"/>
      <c r="AH125" s="49" t="inlineStr">
        <is>
          <t>Si</t>
        </is>
      </c>
      <c r="AI125" s="49" t="inlineStr">
        <is>
          <t xml:space="preserve">Normal              </t>
        </is>
      </c>
      <c r="AJ125" s="49" t="inlineStr">
        <is>
          <t xml:space="preserve">Quincenal                     </t>
        </is>
      </c>
      <c r="AK125" s="49" t="inlineStr">
        <is>
          <t>NO</t>
        </is>
      </c>
      <c r="AL125" s="49" t="inlineStr">
        <is>
          <t>NO</t>
        </is>
      </c>
      <c r="AM125" s="49" t="inlineStr">
        <is>
          <t>16/07/2024</t>
        </is>
      </c>
      <c r="AN125" s="49" t="n"/>
      <c r="AO125" s="49" t="n"/>
      <c r="AP125" s="49" t="inlineStr">
        <is>
          <t xml:space="preserve">NO APLICA                </t>
        </is>
      </c>
      <c r="AQ125" s="49" t="n">
        <v>142</v>
      </c>
      <c r="AR125" s="49" t="inlineStr">
        <is>
          <t>01</t>
        </is>
      </c>
      <c r="AS125" s="49" t="n">
        <v>1</v>
      </c>
      <c r="AT125" s="49" t="inlineStr">
        <is>
          <t>No</t>
        </is>
      </c>
      <c r="AU125" s="49" t="n">
        <v>0</v>
      </c>
      <c r="AV125" s="108" t="n">
        <v>0</v>
      </c>
      <c r="AW125" s="108" t="n">
        <v>0</v>
      </c>
      <c r="AX125" s="108" t="n">
        <v>0</v>
      </c>
      <c r="AY125" s="49" t="inlineStr">
        <is>
          <t>No</t>
        </is>
      </c>
      <c r="AZ125" s="49" t="n">
        <v>402918</v>
      </c>
      <c r="BA125" s="49" t="inlineStr">
        <is>
          <t>COMPENSAR E.P.S</t>
        </is>
      </c>
      <c r="BB125" s="49" t="inlineStr">
        <is>
          <t>COLFONDOS  A.F.P.</t>
        </is>
      </c>
      <c r="BC125" s="49" t="inlineStr">
        <is>
          <t>CCF CAFAM</t>
        </is>
      </c>
      <c r="BD125" s="49" t="inlineStr">
        <is>
          <t>RIESGOS PROFESIONALES COLMENA S.A.</t>
        </is>
      </c>
      <c r="BE125" s="49" t="inlineStr">
        <is>
          <t>COLFONDOS CESANTIAS</t>
        </is>
      </c>
      <c r="BF125" s="49" t="n">
        <v>6.96</v>
      </c>
      <c r="BG125" s="49" t="n">
        <v>220</v>
      </c>
      <c r="BH125" s="49" t="n">
        <v>15</v>
      </c>
      <c r="BI125" s="49" t="inlineStr">
        <is>
          <t xml:space="preserve">0           </t>
        </is>
      </c>
      <c r="BJ125" s="49" t="inlineStr">
        <is>
          <t xml:space="preserve">NO APLICA                               </t>
        </is>
      </c>
      <c r="BK125" s="49" t="inlineStr">
        <is>
          <t>02</t>
        </is>
      </c>
      <c r="BL125" s="49" t="inlineStr">
        <is>
          <t xml:space="preserve">Caldas                                  </t>
        </is>
      </c>
      <c r="BM125" s="49" t="inlineStr">
        <is>
          <t>02</t>
        </is>
      </c>
      <c r="BN125" s="49" t="inlineStr">
        <is>
          <t xml:space="preserve">Supia                                   </t>
        </is>
      </c>
      <c r="BO125" s="49" t="inlineStr">
        <is>
          <t>0</t>
        </is>
      </c>
      <c r="BP125" s="49" t="inlineStr">
        <is>
          <t>NO APLICA</t>
        </is>
      </c>
      <c r="BQ125" s="49" t="inlineStr">
        <is>
          <t>0</t>
        </is>
      </c>
      <c r="BR125" s="49" t="inlineStr">
        <is>
          <t>NO APLICA</t>
        </is>
      </c>
      <c r="BS125" s="49" t="inlineStr">
        <is>
          <t>0</t>
        </is>
      </c>
      <c r="BT125" s="49" t="inlineStr">
        <is>
          <t>NO APLICA</t>
        </is>
      </c>
      <c r="BU125" s="49" t="inlineStr">
        <is>
          <t>0</t>
        </is>
      </c>
      <c r="BV125" s="49" t="inlineStr">
        <is>
          <t>NO APLICA</t>
        </is>
      </c>
      <c r="BW125" s="49" t="inlineStr">
        <is>
          <t>No</t>
        </is>
      </c>
      <c r="BX125" s="49" t="inlineStr">
        <is>
          <t xml:space="preserve">No Aplica                     </t>
        </is>
      </c>
    </row>
    <row r="126" ht="22.5" customHeight="1">
      <c r="A126" s="49" t="n">
        <v>80014013</v>
      </c>
      <c r="B126" s="49" t="inlineStr">
        <is>
          <t>067</t>
        </is>
      </c>
      <c r="C126" s="49" t="n">
        <v>80014013</v>
      </c>
      <c r="D126" s="49" t="inlineStr">
        <is>
          <t>CC</t>
        </is>
      </c>
      <c r="E126" s="49" t="inlineStr">
        <is>
          <t>ESPITIA MONTOYA IVAN DARIO</t>
        </is>
      </c>
      <c r="F126" s="49" t="inlineStr">
        <is>
          <t>M</t>
        </is>
      </c>
      <c r="G126" s="49" t="inlineStr">
        <is>
          <t xml:space="preserve">O  </t>
        </is>
      </c>
      <c r="H126" s="49" t="inlineStr">
        <is>
          <t>+</t>
        </is>
      </c>
      <c r="I126" s="49" t="inlineStr">
        <is>
          <t>CASADO</t>
        </is>
      </c>
      <c r="J126" s="49" t="inlineStr">
        <is>
          <t xml:space="preserve">BOGOTA                        </t>
        </is>
      </c>
      <c r="K126" s="49" t="n">
        <v>0</v>
      </c>
      <c r="L126" s="49" t="inlineStr">
        <is>
          <t>06/12/1980</t>
        </is>
      </c>
      <c r="M126" s="49" t="inlineStr">
        <is>
          <t xml:space="preserve">BOGOTA                        </t>
        </is>
      </c>
      <c r="N126" s="49" t="inlineStr">
        <is>
          <t xml:space="preserve">NA                  </t>
        </is>
      </c>
      <c r="O126" s="49" t="inlineStr">
        <is>
          <t>3112563847</t>
        </is>
      </c>
      <c r="P126" s="49" t="inlineStr">
        <is>
          <t>NA</t>
        </is>
      </c>
      <c r="Q126" s="49" t="inlineStr">
        <is>
          <t>i.espitia@collectivemining.com</t>
        </is>
      </c>
      <c r="R126" s="49" t="inlineStr">
        <is>
          <t>GEOLICAL RESOURCES MANAGER</t>
        </is>
      </c>
      <c r="S126" s="108" t="n">
        <v>91.66666600000001</v>
      </c>
      <c r="T126" s="108" t="n">
        <v>0</v>
      </c>
      <c r="U126" s="108" t="n">
        <v>220</v>
      </c>
      <c r="V126" s="49" t="inlineStr">
        <is>
          <t>CONSIG. CTA AHORROS</t>
        </is>
      </c>
      <c r="W126" s="49" t="inlineStr">
        <is>
          <t xml:space="preserve">BANCO DE BOGOTÁ               </t>
        </is>
      </c>
      <c r="X126" s="49" t="inlineStr">
        <is>
          <t xml:space="preserve">148060544                </t>
        </is>
      </c>
      <c r="Y126" s="49" t="inlineStr">
        <is>
          <t xml:space="preserve">NO APLICA                     </t>
        </is>
      </c>
      <c r="Z126" s="49" t="inlineStr">
        <is>
          <t>CM0100-EXP</t>
        </is>
      </c>
      <c r="AA126" s="49" t="inlineStr">
        <is>
          <t>CM0100-EXP</t>
        </is>
      </c>
      <c r="AB126" s="49" t="inlineStr">
        <is>
          <t xml:space="preserve">01 </t>
        </is>
      </c>
      <c r="AC126" s="49" t="inlineStr">
        <is>
          <t xml:space="preserve">                </t>
        </is>
      </c>
      <c r="AD126" s="49" t="inlineStr">
        <is>
          <t>LEY 50</t>
        </is>
      </c>
      <c r="AE126" s="49" t="inlineStr">
        <is>
          <t>No</t>
        </is>
      </c>
      <c r="AF126" s="49" t="inlineStr">
        <is>
          <t>Integral</t>
        </is>
      </c>
      <c r="AG126" s="49" t="n"/>
      <c r="AH126" s="49" t="inlineStr">
        <is>
          <t>Si</t>
        </is>
      </c>
      <c r="AI126" s="49" t="inlineStr">
        <is>
          <t xml:space="preserve">Normal              </t>
        </is>
      </c>
      <c r="AJ126" s="49" t="inlineStr">
        <is>
          <t xml:space="preserve">Quincenal                     </t>
        </is>
      </c>
      <c r="AK126" s="49" t="inlineStr">
        <is>
          <t>NO</t>
        </is>
      </c>
      <c r="AL126" s="49" t="inlineStr">
        <is>
          <t>NO</t>
        </is>
      </c>
      <c r="AM126" s="49" t="inlineStr">
        <is>
          <t>15/04/2024</t>
        </is>
      </c>
      <c r="AN126" s="49" t="n"/>
      <c r="AO126" s="49" t="n"/>
      <c r="AP126" s="49" t="inlineStr">
        <is>
          <t xml:space="preserve">NO APLICA                </t>
        </is>
      </c>
      <c r="AQ126" s="49" t="n">
        <v>115</v>
      </c>
      <c r="AR126" s="49" t="inlineStr">
        <is>
          <t>01</t>
        </is>
      </c>
      <c r="AS126" s="49" t="n">
        <v>1</v>
      </c>
      <c r="AT126" s="49" t="inlineStr">
        <is>
          <t>No</t>
        </is>
      </c>
      <c r="AU126" s="49" t="n">
        <v>0</v>
      </c>
      <c r="AV126" s="108" t="n">
        <v>3320963</v>
      </c>
      <c r="AW126" s="108" t="n">
        <v>1040430</v>
      </c>
      <c r="AX126" s="108" t="n">
        <v>1</v>
      </c>
      <c r="AY126" s="49" t="inlineStr">
        <is>
          <t>No</t>
        </is>
      </c>
      <c r="AZ126" s="49" t="n">
        <v>616241</v>
      </c>
      <c r="BA126" s="49" t="inlineStr">
        <is>
          <t>SANITAS E.P.S</t>
        </is>
      </c>
      <c r="BB126" s="49" t="inlineStr">
        <is>
          <t>PROTECCION A.F.P</t>
        </is>
      </c>
      <c r="BC126" s="49" t="inlineStr">
        <is>
          <t>CCF CAFAM</t>
        </is>
      </c>
      <c r="BD126" s="49" t="inlineStr">
        <is>
          <t>RIESGOS PROFESIONALES COLMENA S.A.</t>
        </is>
      </c>
      <c r="BE126" s="49" t="inlineStr">
        <is>
          <t>N/A NO APLICA</t>
        </is>
      </c>
      <c r="BF126" s="49" t="n">
        <v>0.522</v>
      </c>
      <c r="BG126" s="49" t="n">
        <v>220</v>
      </c>
      <c r="BH126" s="49" t="n">
        <v>15</v>
      </c>
      <c r="BI126" s="49" t="inlineStr">
        <is>
          <t xml:space="preserve">0           </t>
        </is>
      </c>
      <c r="BJ126" s="49" t="inlineStr">
        <is>
          <t xml:space="preserve">NO APLICA                               </t>
        </is>
      </c>
      <c r="BK126" s="49" t="inlineStr">
        <is>
          <t>02</t>
        </is>
      </c>
      <c r="BL126" s="49" t="inlineStr">
        <is>
          <t xml:space="preserve">Caldas                                  </t>
        </is>
      </c>
      <c r="BM126" s="49" t="inlineStr">
        <is>
          <t>02</t>
        </is>
      </c>
      <c r="BN126" s="49" t="inlineStr">
        <is>
          <t xml:space="preserve">Supia                                   </t>
        </is>
      </c>
      <c r="BO126" s="49" t="inlineStr">
        <is>
          <t>0</t>
        </is>
      </c>
      <c r="BP126" s="49" t="inlineStr">
        <is>
          <t>NO APLICA</t>
        </is>
      </c>
      <c r="BQ126" s="49" t="inlineStr">
        <is>
          <t>0</t>
        </is>
      </c>
      <c r="BR126" s="49" t="inlineStr">
        <is>
          <t>NO APLICA</t>
        </is>
      </c>
      <c r="BS126" s="49" t="inlineStr">
        <is>
          <t>0</t>
        </is>
      </c>
      <c r="BT126" s="49" t="inlineStr">
        <is>
          <t>NO APLICA</t>
        </is>
      </c>
      <c r="BU126" s="49" t="inlineStr">
        <is>
          <t>0</t>
        </is>
      </c>
      <c r="BV126" s="49" t="inlineStr">
        <is>
          <t>NO APLICA</t>
        </is>
      </c>
      <c r="BW126" s="49" t="inlineStr">
        <is>
          <t>No</t>
        </is>
      </c>
      <c r="BX126" s="49" t="inlineStr">
        <is>
          <t xml:space="preserve">No Aplica                     </t>
        </is>
      </c>
    </row>
    <row r="127" ht="30" customHeight="1">
      <c r="A127" s="49" t="n">
        <v>80061533</v>
      </c>
      <c r="B127" s="49" t="inlineStr">
        <is>
          <t>036</t>
        </is>
      </c>
      <c r="C127" s="49" t="n">
        <v>80061533</v>
      </c>
      <c r="D127" s="49" t="inlineStr">
        <is>
          <t>CC</t>
        </is>
      </c>
      <c r="E127" s="49" t="inlineStr">
        <is>
          <t>HERNANDEZ VERANO SERGIO ANDRES</t>
        </is>
      </c>
      <c r="F127" s="49" t="inlineStr">
        <is>
          <t>M</t>
        </is>
      </c>
      <c r="G127" s="49" t="inlineStr">
        <is>
          <t xml:space="preserve">O  </t>
        </is>
      </c>
      <c r="H127" s="49" t="inlineStr">
        <is>
          <t>+</t>
        </is>
      </c>
      <c r="I127" s="49" t="inlineStr">
        <is>
          <t>UNION LIBRE</t>
        </is>
      </c>
      <c r="J127" s="49" t="inlineStr">
        <is>
          <t xml:space="preserve">BOGOTA                        </t>
        </is>
      </c>
      <c r="K127" s="49" t="n">
        <v>0</v>
      </c>
      <c r="L127" s="49" t="inlineStr">
        <is>
          <t>07/02/1979</t>
        </is>
      </c>
      <c r="M127" s="49" t="inlineStr">
        <is>
          <t xml:space="preserve">SUPIA                         </t>
        </is>
      </c>
      <c r="N127" s="49" t="inlineStr">
        <is>
          <t xml:space="preserve">3123259730          </t>
        </is>
      </c>
      <c r="O127" s="49" t="inlineStr">
        <is>
          <t>3123259730</t>
        </is>
      </c>
      <c r="P127" s="49" t="inlineStr">
        <is>
          <t>CALLE 29 # 6 - 21</t>
        </is>
      </c>
      <c r="Q127" s="49" t="inlineStr">
        <is>
          <t>sergioandresverano@gmail.com</t>
        </is>
      </c>
      <c r="R127" s="49" t="inlineStr">
        <is>
          <t>JEFE  AMBIENTAL EXPLORACIÓN GUAYABALES</t>
        </is>
      </c>
      <c r="S127" s="108" t="n">
        <v>91.66666600000001</v>
      </c>
      <c r="T127" s="108" t="n">
        <v>0</v>
      </c>
      <c r="U127" s="108" t="n">
        <v>220</v>
      </c>
      <c r="V127" s="49" t="inlineStr">
        <is>
          <t>CONSIG. CTA AHORROS</t>
        </is>
      </c>
      <c r="W127" s="49" t="inlineStr">
        <is>
          <t xml:space="preserve">BANCO CAJA SOCIAL - BCSC S.A. </t>
        </is>
      </c>
      <c r="X127" s="49" t="inlineStr">
        <is>
          <t xml:space="preserve">24059782704              </t>
        </is>
      </c>
      <c r="Y127" s="49" t="inlineStr">
        <is>
          <t xml:space="preserve">NO APLICA                     </t>
        </is>
      </c>
      <c r="Z127" s="49" t="inlineStr">
        <is>
          <t>CM0204-ESG</t>
        </is>
      </c>
      <c r="AA127" s="49" t="inlineStr">
        <is>
          <t>CM0204-ESGHSE</t>
        </is>
      </c>
      <c r="AB127" s="49" t="inlineStr">
        <is>
          <t xml:space="preserve">01 </t>
        </is>
      </c>
      <c r="AC127" s="49" t="inlineStr">
        <is>
          <t xml:space="preserve">0               </t>
        </is>
      </c>
      <c r="AD127" s="49" t="inlineStr">
        <is>
          <t>LEY 50</t>
        </is>
      </c>
      <c r="AE127" s="49" t="inlineStr">
        <is>
          <t>No</t>
        </is>
      </c>
      <c r="AF127" s="49" t="inlineStr">
        <is>
          <t>Normal</t>
        </is>
      </c>
      <c r="AG127" s="49" t="n"/>
      <c r="AH127" s="49" t="inlineStr">
        <is>
          <t>Si</t>
        </is>
      </c>
      <c r="AI127" s="49" t="inlineStr">
        <is>
          <t xml:space="preserve">Normal              </t>
        </is>
      </c>
      <c r="AJ127" s="49" t="inlineStr">
        <is>
          <t xml:space="preserve">Quincenal                     </t>
        </is>
      </c>
      <c r="AK127" s="49" t="inlineStr">
        <is>
          <t>NO</t>
        </is>
      </c>
      <c r="AL127" s="49" t="inlineStr">
        <is>
          <t>NO</t>
        </is>
      </c>
      <c r="AM127" s="49" t="inlineStr">
        <is>
          <t>24/08/2022</t>
        </is>
      </c>
      <c r="AN127" s="49" t="n"/>
      <c r="AO127" s="49" t="n"/>
      <c r="AP127" s="49" t="inlineStr">
        <is>
          <t xml:space="preserve">NO APLICA                </t>
        </is>
      </c>
      <c r="AQ127" s="49" t="n">
        <v>43</v>
      </c>
      <c r="AR127" s="49" t="inlineStr">
        <is>
          <t>01</t>
        </is>
      </c>
      <c r="AS127" s="49" t="n">
        <v>1</v>
      </c>
      <c r="AT127" s="49" t="inlineStr">
        <is>
          <t>No</t>
        </is>
      </c>
      <c r="AU127" s="49" t="n">
        <v>0</v>
      </c>
      <c r="AV127" s="108" t="n">
        <v>786861</v>
      </c>
      <c r="AW127" s="108" t="n">
        <v>0</v>
      </c>
      <c r="AX127" s="108" t="n">
        <v>1</v>
      </c>
      <c r="AY127" s="49" t="inlineStr">
        <is>
          <t>No</t>
        </is>
      </c>
      <c r="AZ127" s="49" t="n">
        <v>278074</v>
      </c>
      <c r="BA127" s="49" t="inlineStr">
        <is>
          <t>NUEVA E.P.S</t>
        </is>
      </c>
      <c r="BB127" s="49" t="inlineStr">
        <is>
          <t>COLPENSIONES - I.S.S. PENSION</t>
        </is>
      </c>
      <c r="BC127" s="49" t="inlineStr">
        <is>
          <t>CCF DE CALDAS</t>
        </is>
      </c>
      <c r="BD127" s="49" t="inlineStr">
        <is>
          <t>RIESGOS PROFESIONALES COLMENA S.A.</t>
        </is>
      </c>
      <c r="BE127" s="49" t="inlineStr">
        <is>
          <t>FONDO NACIONAL DEL AHORRO</t>
        </is>
      </c>
      <c r="BF127" s="49" t="n">
        <v>6.96</v>
      </c>
      <c r="BG127" s="49" t="n">
        <v>220</v>
      </c>
      <c r="BH127" s="49" t="n">
        <v>15</v>
      </c>
      <c r="BI127" s="49" t="inlineStr">
        <is>
          <t xml:space="preserve">0           </t>
        </is>
      </c>
      <c r="BJ127" s="49" t="inlineStr">
        <is>
          <t xml:space="preserve">NO APLICA                               </t>
        </is>
      </c>
      <c r="BK127" s="49" t="inlineStr">
        <is>
          <t>02</t>
        </is>
      </c>
      <c r="BL127" s="49" t="inlineStr">
        <is>
          <t xml:space="preserve">Caldas                                  </t>
        </is>
      </c>
      <c r="BM127" s="49" t="inlineStr">
        <is>
          <t>02</t>
        </is>
      </c>
      <c r="BN127" s="49" t="inlineStr">
        <is>
          <t xml:space="preserve">Supia                                   </t>
        </is>
      </c>
      <c r="BO127" s="49" t="inlineStr">
        <is>
          <t>0</t>
        </is>
      </c>
      <c r="BP127" s="49" t="inlineStr">
        <is>
          <t>NO APLICA</t>
        </is>
      </c>
      <c r="BQ127" s="49" t="inlineStr">
        <is>
          <t>0</t>
        </is>
      </c>
      <c r="BR127" s="49" t="inlineStr">
        <is>
          <t>NO APLICA</t>
        </is>
      </c>
      <c r="BS127" s="49" t="inlineStr">
        <is>
          <t>0</t>
        </is>
      </c>
      <c r="BT127" s="49" t="inlineStr">
        <is>
          <t>NO APLICA</t>
        </is>
      </c>
      <c r="BU127" s="49" t="inlineStr">
        <is>
          <t>0</t>
        </is>
      </c>
      <c r="BV127" s="49" t="inlineStr">
        <is>
          <t>NO APLICA</t>
        </is>
      </c>
      <c r="BW127" s="49" t="inlineStr">
        <is>
          <t>No</t>
        </is>
      </c>
      <c r="BX127" s="49" t="inlineStr">
        <is>
          <t xml:space="preserve">No Aplica                     </t>
        </is>
      </c>
    </row>
    <row r="128" ht="22.5" customHeight="1">
      <c r="A128" s="49" t="n">
        <v>80083229</v>
      </c>
      <c r="B128" s="49" t="inlineStr">
        <is>
          <t>098</t>
        </is>
      </c>
      <c r="C128" s="49" t="n">
        <v>80083229</v>
      </c>
      <c r="D128" s="49" t="inlineStr">
        <is>
          <t>CC</t>
        </is>
      </c>
      <c r="E128" s="49" t="inlineStr">
        <is>
          <t>GUZMAN MONTANEZ JORGE ELIECER</t>
        </is>
      </c>
      <c r="F128" s="49" t="inlineStr">
        <is>
          <t>M</t>
        </is>
      </c>
      <c r="G128" s="49" t="inlineStr">
        <is>
          <t xml:space="preserve">A  </t>
        </is>
      </c>
      <c r="H128" s="49" t="inlineStr">
        <is>
          <t>+</t>
        </is>
      </c>
      <c r="I128" s="49" t="inlineStr">
        <is>
          <t>DESCONOCIDO</t>
        </is>
      </c>
      <c r="J128" s="49" t="inlineStr">
        <is>
          <t xml:space="preserve">BOGOTA                        </t>
        </is>
      </c>
      <c r="K128" s="49" t="n">
        <v>0</v>
      </c>
      <c r="L128" s="49" t="inlineStr">
        <is>
          <t>09/09/1979</t>
        </is>
      </c>
      <c r="M128" s="49" t="inlineStr">
        <is>
          <t xml:space="preserve">SUPIA                         </t>
        </is>
      </c>
      <c r="N128" s="49" t="inlineStr">
        <is>
          <t xml:space="preserve">0                   </t>
        </is>
      </c>
      <c r="O128" s="49" t="inlineStr">
        <is>
          <t>3155828774</t>
        </is>
      </c>
      <c r="P128" s="49" t="inlineStr">
        <is>
          <t>CR 32 B # 99B 32</t>
        </is>
      </c>
      <c r="Q128" s="49" t="inlineStr">
        <is>
          <t>alexsanta18@gmail.com</t>
        </is>
      </c>
      <c r="R128" s="49" t="inlineStr">
        <is>
          <t>SUPERVISOR DE PROTECCIÓN</t>
        </is>
      </c>
      <c r="S128" s="108" t="n">
        <v>91.66666600000001</v>
      </c>
      <c r="T128" s="108" t="n">
        <v>0</v>
      </c>
      <c r="U128" s="108" t="n">
        <v>220</v>
      </c>
      <c r="V128" s="49" t="inlineStr">
        <is>
          <t>CONSIG. CTA AHORROS</t>
        </is>
      </c>
      <c r="W128" s="49" t="inlineStr">
        <is>
          <t xml:space="preserve">BBVA COLOMBIA                 </t>
        </is>
      </c>
      <c r="X128" s="49" t="inlineStr">
        <is>
          <t xml:space="preserve">382492007                </t>
        </is>
      </c>
      <c r="Y128" s="49" t="inlineStr">
        <is>
          <t xml:space="preserve">NO APLICA                     </t>
        </is>
      </c>
      <c r="Z128" s="49" t="inlineStr">
        <is>
          <t>CM0400-PRO</t>
        </is>
      </c>
      <c r="AA128" s="49" t="inlineStr">
        <is>
          <t>CM0400-PRO</t>
        </is>
      </c>
      <c r="AB128" s="49" t="inlineStr">
        <is>
          <t xml:space="preserve">01 </t>
        </is>
      </c>
      <c r="AC128" s="49" t="inlineStr">
        <is>
          <t xml:space="preserve">                </t>
        </is>
      </c>
      <c r="AD128" s="49" t="inlineStr">
        <is>
          <t>LEY 50</t>
        </is>
      </c>
      <c r="AE128" s="49" t="inlineStr">
        <is>
          <t>No</t>
        </is>
      </c>
      <c r="AF128" s="49" t="inlineStr">
        <is>
          <t>Normal</t>
        </is>
      </c>
      <c r="AG128" s="49" t="n"/>
      <c r="AH128" s="49" t="inlineStr">
        <is>
          <t>Si</t>
        </is>
      </c>
      <c r="AI128" s="49" t="inlineStr">
        <is>
          <t xml:space="preserve">Normal              </t>
        </is>
      </c>
      <c r="AJ128" s="49" t="inlineStr">
        <is>
          <t xml:space="preserve">Quincenal                     </t>
        </is>
      </c>
      <c r="AK128" s="49" t="inlineStr">
        <is>
          <t>NO</t>
        </is>
      </c>
      <c r="AL128" s="49" t="inlineStr">
        <is>
          <t>NO</t>
        </is>
      </c>
      <c r="AM128" s="49" t="inlineStr">
        <is>
          <t>03/12/2024</t>
        </is>
      </c>
      <c r="AN128" s="49" t="n"/>
      <c r="AO128" s="49" t="n"/>
      <c r="AP128" s="49" t="inlineStr">
        <is>
          <t xml:space="preserve">NO APLICA                </t>
        </is>
      </c>
      <c r="AQ128" s="49" t="n">
        <v>157</v>
      </c>
      <c r="AR128" s="49" t="inlineStr">
        <is>
          <t>01</t>
        </is>
      </c>
      <c r="AS128" s="49" t="n">
        <v>1</v>
      </c>
      <c r="AT128" s="49" t="inlineStr">
        <is>
          <t>No</t>
        </is>
      </c>
      <c r="AU128" s="49" t="n">
        <v>0</v>
      </c>
      <c r="AV128" s="108" t="n">
        <v>0</v>
      </c>
      <c r="AW128" s="108" t="n">
        <v>0</v>
      </c>
      <c r="AX128" s="108" t="n">
        <v>0</v>
      </c>
      <c r="AY128" s="49" t="inlineStr">
        <is>
          <t>No</t>
        </is>
      </c>
      <c r="AZ128" s="49" t="n">
        <v>173700</v>
      </c>
      <c r="BA128" s="49" t="inlineStr">
        <is>
          <t>FOSYGA</t>
        </is>
      </c>
      <c r="BB128" s="49" t="inlineStr">
        <is>
          <t>COLPENSIONES - I.S.S. PENSION</t>
        </is>
      </c>
      <c r="BC128" s="49" t="inlineStr">
        <is>
          <t>CCF DE CALDAS</t>
        </is>
      </c>
      <c r="BD128" s="49" t="inlineStr">
        <is>
          <t>RIESGOS PROFESIONALES COLMENA S.A.</t>
        </is>
      </c>
      <c r="BE128" s="49" t="inlineStr">
        <is>
          <t>PORVENIR CESANTIAS</t>
        </is>
      </c>
      <c r="BF128" s="49" t="n">
        <v>6.96</v>
      </c>
      <c r="BG128" s="49" t="n">
        <v>220</v>
      </c>
      <c r="BH128" s="49" t="n">
        <v>15</v>
      </c>
      <c r="BI128" s="49" t="inlineStr">
        <is>
          <t xml:space="preserve">0           </t>
        </is>
      </c>
      <c r="BJ128" s="49" t="inlineStr">
        <is>
          <t xml:space="preserve">NO APLICA                               </t>
        </is>
      </c>
      <c r="BK128" s="49" t="inlineStr">
        <is>
          <t>02</t>
        </is>
      </c>
      <c r="BL128" s="49" t="inlineStr">
        <is>
          <t xml:space="preserve">Caldas                                  </t>
        </is>
      </c>
      <c r="BM128" s="49" t="inlineStr">
        <is>
          <t>02</t>
        </is>
      </c>
      <c r="BN128" s="49" t="inlineStr">
        <is>
          <t xml:space="preserve">Supia                                   </t>
        </is>
      </c>
      <c r="BO128" s="49" t="inlineStr">
        <is>
          <t>0</t>
        </is>
      </c>
      <c r="BP128" s="49" t="inlineStr">
        <is>
          <t>NO APLICA</t>
        </is>
      </c>
      <c r="BQ128" s="49" t="inlineStr">
        <is>
          <t>0</t>
        </is>
      </c>
      <c r="BR128" s="49" t="inlineStr">
        <is>
          <t>NO APLICA</t>
        </is>
      </c>
      <c r="BS128" s="49" t="inlineStr">
        <is>
          <t>0</t>
        </is>
      </c>
      <c r="BT128" s="49" t="inlineStr">
        <is>
          <t>NO APLICA</t>
        </is>
      </c>
      <c r="BU128" s="49" t="inlineStr">
        <is>
          <t>0</t>
        </is>
      </c>
      <c r="BV128" s="49" t="inlineStr">
        <is>
          <t>NO APLICA</t>
        </is>
      </c>
      <c r="BW128" s="49" t="inlineStr">
        <is>
          <t>No</t>
        </is>
      </c>
      <c r="BX128" s="49" t="inlineStr">
        <is>
          <t xml:space="preserve">No Aplica                     </t>
        </is>
      </c>
    </row>
    <row r="129" ht="15" customHeight="1">
      <c r="A129" s="49" t="n">
        <v>80203035</v>
      </c>
      <c r="B129" s="49" t="inlineStr">
        <is>
          <t>106</t>
        </is>
      </c>
      <c r="C129" s="49" t="n">
        <v>80203035</v>
      </c>
      <c r="D129" s="49" t="inlineStr">
        <is>
          <t>CC</t>
        </is>
      </c>
      <c r="E129" s="49" t="inlineStr">
        <is>
          <t>SABRICA BUENDIA CARLOS ANDRES</t>
        </is>
      </c>
      <c r="F129" s="49" t="inlineStr">
        <is>
          <t>M</t>
        </is>
      </c>
      <c r="G129" s="49" t="inlineStr">
        <is>
          <t xml:space="preserve">A  </t>
        </is>
      </c>
      <c r="H129" s="49" t="inlineStr">
        <is>
          <t>+</t>
        </is>
      </c>
      <c r="I129" s="49" t="inlineStr">
        <is>
          <t>CASADO</t>
        </is>
      </c>
      <c r="J129" s="49" t="inlineStr">
        <is>
          <t xml:space="preserve">BOGOTA                        </t>
        </is>
      </c>
      <c r="K129" s="49" t="n">
        <v>0</v>
      </c>
      <c r="L129" s="49" t="inlineStr">
        <is>
          <t>21/05/1983</t>
        </is>
      </c>
      <c r="M129" s="49" t="inlineStr">
        <is>
          <t xml:space="preserve">SUPIA                         </t>
        </is>
      </c>
      <c r="N129" s="49" t="inlineStr">
        <is>
          <t xml:space="preserve">0                   </t>
        </is>
      </c>
      <c r="O129" s="49" t="inlineStr">
        <is>
          <t>3206194446</t>
        </is>
      </c>
      <c r="P129" s="49" t="inlineStr">
        <is>
          <t>CR 72 80A 43 AP 1201</t>
        </is>
      </c>
      <c r="Q129" s="49" t="inlineStr">
        <is>
          <t>carlosandressabrica@gmail.com</t>
        </is>
      </c>
      <c r="R129" s="49" t="inlineStr">
        <is>
          <t>GEOLOGO (A) SENIOR</t>
        </is>
      </c>
      <c r="S129" s="108" t="n">
        <v>91.66666600000001</v>
      </c>
      <c r="T129" s="108" t="n">
        <v>0</v>
      </c>
      <c r="U129" s="108" t="n">
        <v>220</v>
      </c>
      <c r="V129" s="49" t="inlineStr">
        <is>
          <t>CONSIG. CTA AHORROS</t>
        </is>
      </c>
      <c r="W129" s="49" t="inlineStr">
        <is>
          <t xml:space="preserve">BANCOLOMBIA S.A.              </t>
        </is>
      </c>
      <c r="X129" s="49" t="inlineStr">
        <is>
          <t xml:space="preserve">43022234022              </t>
        </is>
      </c>
      <c r="Y129" s="49" t="inlineStr">
        <is>
          <t xml:space="preserve">NO APLICA                     </t>
        </is>
      </c>
      <c r="Z129" s="49" t="inlineStr">
        <is>
          <t>CM0100-EXP</t>
        </is>
      </c>
      <c r="AA129" s="49" t="inlineStr">
        <is>
          <t>CM0100-EXP</t>
        </is>
      </c>
      <c r="AB129" s="49" t="inlineStr">
        <is>
          <t xml:space="preserve">01 </t>
        </is>
      </c>
      <c r="AC129" s="49" t="inlineStr">
        <is>
          <t xml:space="preserve">                </t>
        </is>
      </c>
      <c r="AD129" s="49" t="inlineStr">
        <is>
          <t>LEY 50</t>
        </is>
      </c>
      <c r="AE129" s="49" t="inlineStr">
        <is>
          <t>No</t>
        </is>
      </c>
      <c r="AF129" s="49" t="inlineStr">
        <is>
          <t>Normal</t>
        </is>
      </c>
      <c r="AG129" s="49" t="n"/>
      <c r="AH129" s="49" t="inlineStr">
        <is>
          <t>Si</t>
        </is>
      </c>
      <c r="AI129" s="49" t="inlineStr">
        <is>
          <t xml:space="preserve">Normal              </t>
        </is>
      </c>
      <c r="AJ129" s="49" t="inlineStr">
        <is>
          <t xml:space="preserve">Quincenal                     </t>
        </is>
      </c>
      <c r="AK129" s="49" t="inlineStr">
        <is>
          <t>NO</t>
        </is>
      </c>
      <c r="AL129" s="49" t="inlineStr">
        <is>
          <t>NO</t>
        </is>
      </c>
      <c r="AM129" s="49" t="inlineStr">
        <is>
          <t>21/01/2025</t>
        </is>
      </c>
      <c r="AN129" s="49" t="n"/>
      <c r="AO129" s="49" t="n"/>
      <c r="AP129" s="49" t="inlineStr">
        <is>
          <t xml:space="preserve">NO APLICA                </t>
        </is>
      </c>
      <c r="AQ129" s="49" t="n">
        <v>165</v>
      </c>
      <c r="AR129" s="49" t="inlineStr">
        <is>
          <t>01</t>
        </is>
      </c>
      <c r="AS129" s="49" t="n">
        <v>1</v>
      </c>
      <c r="AT129" s="49" t="inlineStr">
        <is>
          <t>No</t>
        </is>
      </c>
      <c r="AU129" s="49" t="n">
        <v>0</v>
      </c>
      <c r="AV129" s="108" t="n">
        <v>0</v>
      </c>
      <c r="AW129" s="108" t="n">
        <v>0</v>
      </c>
      <c r="AX129" s="108" t="n">
        <v>0</v>
      </c>
      <c r="AY129" s="49" t="inlineStr">
        <is>
          <t>No</t>
        </is>
      </c>
      <c r="AZ129" s="49" t="n">
        <v>0</v>
      </c>
      <c r="BA129" s="49" t="inlineStr">
        <is>
          <t>SURA E.P.S.</t>
        </is>
      </c>
      <c r="BB129" s="49" t="inlineStr">
        <is>
          <t>PORVENIR A.F.P.</t>
        </is>
      </c>
      <c r="BC129" s="49" t="inlineStr">
        <is>
          <t>CCF COMFENALCO ANTIOQUIA</t>
        </is>
      </c>
      <c r="BD129" s="49" t="inlineStr">
        <is>
          <t>RIESGOS PROFESIONALES COLMENA S.A.</t>
        </is>
      </c>
      <c r="BE129" s="49" t="inlineStr">
        <is>
          <t>PORVENIR CESANTIAS</t>
        </is>
      </c>
      <c r="BF129" s="49" t="n">
        <v>6.96</v>
      </c>
      <c r="BG129" s="49" t="n">
        <v>220</v>
      </c>
      <c r="BH129" s="49" t="n">
        <v>15</v>
      </c>
      <c r="BI129" s="49" t="inlineStr">
        <is>
          <t xml:space="preserve">0           </t>
        </is>
      </c>
      <c r="BJ129" s="49" t="inlineStr">
        <is>
          <t xml:space="preserve">NO APLICA                               </t>
        </is>
      </c>
      <c r="BK129" s="49" t="inlineStr">
        <is>
          <t>02</t>
        </is>
      </c>
      <c r="BL129" s="49" t="inlineStr">
        <is>
          <t xml:space="preserve">Caldas                                  </t>
        </is>
      </c>
      <c r="BM129" s="49" t="inlineStr">
        <is>
          <t>02</t>
        </is>
      </c>
      <c r="BN129" s="49" t="inlineStr">
        <is>
          <t xml:space="preserve">Supia                                   </t>
        </is>
      </c>
      <c r="BO129" s="49" t="inlineStr">
        <is>
          <t>0</t>
        </is>
      </c>
      <c r="BP129" s="49" t="inlineStr">
        <is>
          <t>NO APLICA</t>
        </is>
      </c>
      <c r="BQ129" s="49" t="inlineStr">
        <is>
          <t>0</t>
        </is>
      </c>
      <c r="BR129" s="49" t="inlineStr">
        <is>
          <t>NO APLICA</t>
        </is>
      </c>
      <c r="BS129" s="49" t="inlineStr">
        <is>
          <t>0</t>
        </is>
      </c>
      <c r="BT129" s="49" t="inlineStr">
        <is>
          <t>NO APLICA</t>
        </is>
      </c>
      <c r="BU129" s="49" t="inlineStr">
        <is>
          <t>0</t>
        </is>
      </c>
      <c r="BV129" s="49" t="inlineStr">
        <is>
          <t>NO APLICA</t>
        </is>
      </c>
      <c r="BW129" s="49" t="inlineStr">
        <is>
          <t>No</t>
        </is>
      </c>
      <c r="BX129" s="49" t="inlineStr">
        <is>
          <t xml:space="preserve">No Aplica                     </t>
        </is>
      </c>
    </row>
    <row r="130" ht="22.5" customHeight="1">
      <c r="A130" s="49" t="n">
        <v>8239369</v>
      </c>
      <c r="B130" s="49" t="inlineStr">
        <is>
          <t xml:space="preserve"> 158</t>
        </is>
      </c>
      <c r="C130" s="49" t="n">
        <v>8239369</v>
      </c>
      <c r="D130" s="49" t="inlineStr">
        <is>
          <t>CE</t>
        </is>
      </c>
      <c r="E130" s="49" t="inlineStr">
        <is>
          <t>CARDOSO MARACAJA RAPHAEL CAPELLA</t>
        </is>
      </c>
      <c r="F130" s="49" t="inlineStr">
        <is>
          <t>M</t>
        </is>
      </c>
      <c r="G130" s="49" t="inlineStr">
        <is>
          <t xml:space="preserve">A  </t>
        </is>
      </c>
      <c r="H130" s="49" t="inlineStr">
        <is>
          <t>+</t>
        </is>
      </c>
      <c r="I130" s="49" t="inlineStr">
        <is>
          <t>SOLTERO</t>
        </is>
      </c>
      <c r="J130" s="49" t="inlineStr">
        <is>
          <t xml:space="preserve">MEDELLÍN                      </t>
        </is>
      </c>
      <c r="K130" s="49" t="n">
        <v>0</v>
      </c>
      <c r="L130" s="49" t="inlineStr">
        <is>
          <t>14/12/1983</t>
        </is>
      </c>
      <c r="M130" s="49" t="inlineStr">
        <is>
          <t xml:space="preserve">MEDELLÍN                      </t>
        </is>
      </c>
      <c r="N130" s="49" t="inlineStr">
        <is>
          <t xml:space="preserve">0000                </t>
        </is>
      </c>
      <c r="O130" s="49" t="inlineStr">
        <is>
          <t>3187121638</t>
        </is>
      </c>
      <c r="P130" s="49" t="inlineStr">
        <is>
          <t>CR 43 # 9 s 105</t>
        </is>
      </c>
      <c r="Q130" s="49" t="inlineStr">
        <is>
          <t>r.maracaja@collectivemining.com</t>
        </is>
      </c>
      <c r="R130" s="49" t="inlineStr">
        <is>
          <t>VICE PRESIDENT OF MINING</t>
        </is>
      </c>
      <c r="S130" s="108" t="n">
        <v>91.66666600000001</v>
      </c>
      <c r="T130" s="108" t="n">
        <v>0</v>
      </c>
      <c r="U130" s="108" t="n">
        <v>220</v>
      </c>
      <c r="V130" s="49" t="inlineStr">
        <is>
          <t>CONSIG. CTA AHORROS</t>
        </is>
      </c>
      <c r="W130" s="49" t="inlineStr">
        <is>
          <t xml:space="preserve">BBVA COLOMBIA                 </t>
        </is>
      </c>
      <c r="X130" s="49" t="inlineStr">
        <is>
          <t xml:space="preserve">837003968                </t>
        </is>
      </c>
      <c r="Y130" s="49" t="inlineStr">
        <is>
          <t xml:space="preserve">NO APLICA                     </t>
        </is>
      </c>
      <c r="Z130" s="49" t="inlineStr">
        <is>
          <t>CM0700-MIN</t>
        </is>
      </c>
      <c r="AA130" s="49" t="inlineStr">
        <is>
          <t>CM0700-MIN</t>
        </is>
      </c>
      <c r="AB130" s="49" t="inlineStr">
        <is>
          <t xml:space="preserve">01 </t>
        </is>
      </c>
      <c r="AC130" s="49" t="inlineStr">
        <is>
          <t xml:space="preserve">                </t>
        </is>
      </c>
      <c r="AD130" s="49" t="inlineStr">
        <is>
          <t>LEY 50</t>
        </is>
      </c>
      <c r="AE130" s="49" t="inlineStr">
        <is>
          <t>No</t>
        </is>
      </c>
      <c r="AF130" s="49" t="inlineStr">
        <is>
          <t>Integral</t>
        </is>
      </c>
      <c r="AG130" s="49" t="n"/>
      <c r="AH130" s="49" t="inlineStr">
        <is>
          <t>Si</t>
        </is>
      </c>
      <c r="AI130" s="49" t="inlineStr">
        <is>
          <t xml:space="preserve">Normal              </t>
        </is>
      </c>
      <c r="AJ130" s="49" t="inlineStr">
        <is>
          <t xml:space="preserve">Quincenal                     </t>
        </is>
      </c>
      <c r="AK130" s="49" t="inlineStr">
        <is>
          <t>NO</t>
        </is>
      </c>
      <c r="AL130" s="49" t="inlineStr">
        <is>
          <t>NO</t>
        </is>
      </c>
      <c r="AM130" s="49" t="inlineStr">
        <is>
          <t>06/01/2026</t>
        </is>
      </c>
      <c r="AN130" s="49" t="n"/>
      <c r="AO130" s="49" t="n"/>
      <c r="AP130" s="49" t="inlineStr">
        <is>
          <t xml:space="preserve">NO APLICA                </t>
        </is>
      </c>
      <c r="AQ130" s="49" t="n">
        <v>217</v>
      </c>
      <c r="AR130" s="49" t="inlineStr">
        <is>
          <t>01</t>
        </is>
      </c>
      <c r="AS130" s="49" t="n">
        <v>1</v>
      </c>
      <c r="AT130" s="49" t="inlineStr">
        <is>
          <t>No</t>
        </is>
      </c>
      <c r="AU130" s="49" t="n">
        <v>0</v>
      </c>
      <c r="AV130" s="108" t="n">
        <v>0</v>
      </c>
      <c r="AW130" s="108" t="n">
        <v>0</v>
      </c>
      <c r="AX130" s="108" t="n">
        <v>0</v>
      </c>
      <c r="AY130" s="49" t="inlineStr">
        <is>
          <t>No</t>
        </is>
      </c>
      <c r="AZ130" s="49" t="n">
        <v>0</v>
      </c>
      <c r="BA130" s="49" t="inlineStr">
        <is>
          <t>SURA E.P.S.</t>
        </is>
      </c>
      <c r="BB130" s="49" t="inlineStr">
        <is>
          <t>PORVENIR A.F.P.</t>
        </is>
      </c>
      <c r="BC130" s="49" t="inlineStr">
        <is>
          <t>CCF COMFENALCO ANTIOQUIA</t>
        </is>
      </c>
      <c r="BD130" s="49" t="inlineStr">
        <is>
          <t>RIESGOS PROFESIONALES COLMENA S.A.</t>
        </is>
      </c>
      <c r="BE130" s="49" t="inlineStr">
        <is>
          <t>PORVENIR CESANTIAS</t>
        </is>
      </c>
      <c r="BF130" s="49" t="n">
        <v>6.96</v>
      </c>
      <c r="BG130" s="49" t="n">
        <v>220</v>
      </c>
      <c r="BH130" s="49" t="n">
        <v>15</v>
      </c>
      <c r="BI130" s="49" t="inlineStr">
        <is>
          <t xml:space="preserve">0           </t>
        </is>
      </c>
      <c r="BJ130" s="49" t="inlineStr">
        <is>
          <t xml:space="preserve">NO APLICA                               </t>
        </is>
      </c>
      <c r="BK130" s="49" t="inlineStr">
        <is>
          <t>01</t>
        </is>
      </c>
      <c r="BL130" s="49" t="inlineStr">
        <is>
          <t xml:space="preserve">Antioquia                               </t>
        </is>
      </c>
      <c r="BM130" s="49" t="inlineStr">
        <is>
          <t>04</t>
        </is>
      </c>
      <c r="BN130" s="49" t="inlineStr">
        <is>
          <t xml:space="preserve">Otros Lugares                           </t>
        </is>
      </c>
      <c r="BO130" s="49" t="inlineStr">
        <is>
          <t>0</t>
        </is>
      </c>
      <c r="BP130" s="49" t="inlineStr">
        <is>
          <t>NO APLICA</t>
        </is>
      </c>
      <c r="BQ130" s="49" t="inlineStr">
        <is>
          <t>0</t>
        </is>
      </c>
      <c r="BR130" s="49" t="inlineStr">
        <is>
          <t>NO APLICA</t>
        </is>
      </c>
      <c r="BS130" s="49" t="inlineStr">
        <is>
          <t>0</t>
        </is>
      </c>
      <c r="BT130" s="49" t="inlineStr">
        <is>
          <t>NO APLICA</t>
        </is>
      </c>
      <c r="BU130" s="49" t="inlineStr">
        <is>
          <t>0</t>
        </is>
      </c>
      <c r="BV130" s="49" t="inlineStr">
        <is>
          <t>NO APLICA</t>
        </is>
      </c>
      <c r="BW130" s="49" t="inlineStr">
        <is>
          <t>No</t>
        </is>
      </c>
      <c r="BX130" s="49" t="inlineStr">
        <is>
          <t xml:space="preserve">No Aplica                     </t>
        </is>
      </c>
    </row>
    <row r="131" ht="30" customHeight="1">
      <c r="A131" s="49" t="n">
        <v>86086222</v>
      </c>
      <c r="B131" s="49" t="inlineStr">
        <is>
          <t>031</t>
        </is>
      </c>
      <c r="C131" s="49" t="n">
        <v>86086222</v>
      </c>
      <c r="D131" s="49" t="inlineStr">
        <is>
          <t>CC</t>
        </is>
      </c>
      <c r="E131" s="49" t="inlineStr">
        <is>
          <t>CARMONA QUIROZ MARIO FERNANDO</t>
        </is>
      </c>
      <c r="F131" s="49" t="inlineStr">
        <is>
          <t>M</t>
        </is>
      </c>
      <c r="G131" s="49" t="inlineStr">
        <is>
          <t xml:space="preserve">O  </t>
        </is>
      </c>
      <c r="H131" s="49" t="inlineStr">
        <is>
          <t>+</t>
        </is>
      </c>
      <c r="I131" s="49" t="inlineStr">
        <is>
          <t>SOLTERO</t>
        </is>
      </c>
      <c r="J131" s="49" t="inlineStr">
        <is>
          <t xml:space="preserve">SEVILLA                       </t>
        </is>
      </c>
      <c r="K131" s="49" t="n">
        <v>0</v>
      </c>
      <c r="L131" s="49" t="inlineStr">
        <is>
          <t>09/04/1985</t>
        </is>
      </c>
      <c r="M131" s="49" t="inlineStr">
        <is>
          <t xml:space="preserve">SUPIA                         </t>
        </is>
      </c>
      <c r="N131" s="49" t="inlineStr">
        <is>
          <t xml:space="preserve">3165315084          </t>
        </is>
      </c>
      <c r="O131" s="49" t="inlineStr">
        <is>
          <t>3165315084</t>
        </is>
      </c>
      <c r="P131" s="49" t="inlineStr">
        <is>
          <t>CARRERA 12 # 39 - 36</t>
        </is>
      </c>
      <c r="Q131" s="49" t="inlineStr">
        <is>
          <t>mariof.790@gmail.com</t>
        </is>
      </c>
      <c r="R131" s="49" t="inlineStr">
        <is>
          <t>OCCUPATIONAL HEALTH AND SAFETY MANAGER</t>
        </is>
      </c>
      <c r="S131" s="108" t="n">
        <v>91.66666600000001</v>
      </c>
      <c r="T131" s="108" t="n">
        <v>0</v>
      </c>
      <c r="U131" s="108" t="n">
        <v>220</v>
      </c>
      <c r="V131" s="49" t="inlineStr">
        <is>
          <t>CONSIG. CTA AHORROS</t>
        </is>
      </c>
      <c r="W131" s="49" t="inlineStr">
        <is>
          <t xml:space="preserve">BANCO DAVIVIENDA S.A.         </t>
        </is>
      </c>
      <c r="X131" s="49" t="inlineStr">
        <is>
          <t xml:space="preserve">488444880808             </t>
        </is>
      </c>
      <c r="Y131" s="49" t="inlineStr">
        <is>
          <t xml:space="preserve">NO APLICA                     </t>
        </is>
      </c>
      <c r="Z131" s="49" t="inlineStr">
        <is>
          <t>CM0204-ESG</t>
        </is>
      </c>
      <c r="AA131" s="49" t="inlineStr">
        <is>
          <t>CM0204-ESGHSE</t>
        </is>
      </c>
      <c r="AB131" s="49" t="inlineStr">
        <is>
          <t xml:space="preserve">01 </t>
        </is>
      </c>
      <c r="AC131" s="49" t="inlineStr">
        <is>
          <t xml:space="preserve">0               </t>
        </is>
      </c>
      <c r="AD131" s="49" t="inlineStr">
        <is>
          <t>LEY 50</t>
        </is>
      </c>
      <c r="AE131" s="49" t="inlineStr">
        <is>
          <t>No</t>
        </is>
      </c>
      <c r="AF131" s="49" t="inlineStr">
        <is>
          <t>Integral</t>
        </is>
      </c>
      <c r="AG131" s="49" t="n"/>
      <c r="AH131" s="49" t="inlineStr">
        <is>
          <t>Si</t>
        </is>
      </c>
      <c r="AI131" s="49" t="inlineStr">
        <is>
          <t xml:space="preserve">Normal              </t>
        </is>
      </c>
      <c r="AJ131" s="49" t="inlineStr">
        <is>
          <t xml:space="preserve">Quincenal                     </t>
        </is>
      </c>
      <c r="AK131" s="49" t="inlineStr">
        <is>
          <t>NO</t>
        </is>
      </c>
      <c r="AL131" s="49" t="inlineStr">
        <is>
          <t>NO</t>
        </is>
      </c>
      <c r="AM131" s="49" t="inlineStr">
        <is>
          <t>19/07/2022</t>
        </is>
      </c>
      <c r="AN131" s="49" t="n"/>
      <c r="AO131" s="49" t="n"/>
      <c r="AP131" s="49" t="inlineStr">
        <is>
          <t xml:space="preserve">NO APLICA                </t>
        </is>
      </c>
      <c r="AQ131" s="49" t="n">
        <v>44</v>
      </c>
      <c r="AR131" s="49" t="inlineStr">
        <is>
          <t>01</t>
        </is>
      </c>
      <c r="AS131" s="49" t="n">
        <v>1</v>
      </c>
      <c r="AT131" s="49" t="inlineStr">
        <is>
          <t>No</t>
        </is>
      </c>
      <c r="AU131" s="49" t="n">
        <v>0</v>
      </c>
      <c r="AV131" s="108" t="n">
        <v>0</v>
      </c>
      <c r="AW131" s="108" t="n">
        <v>0</v>
      </c>
      <c r="AX131" s="108" t="n">
        <v>0</v>
      </c>
      <c r="AY131" s="49" t="inlineStr">
        <is>
          <t>No</t>
        </is>
      </c>
      <c r="AZ131" s="49" t="n">
        <v>504661</v>
      </c>
      <c r="BA131" s="49" t="inlineStr">
        <is>
          <t>SALUD TOTAL E.P.S.</t>
        </is>
      </c>
      <c r="BB131" s="49" t="inlineStr">
        <is>
          <t>PROTECCION A.F.P</t>
        </is>
      </c>
      <c r="BC131" s="49" t="inlineStr">
        <is>
          <t>CCF DE CALDAS</t>
        </is>
      </c>
      <c r="BD131" s="49" t="inlineStr">
        <is>
          <t>RIESGOS PROFESIONALES COLMENA S.A.</t>
        </is>
      </c>
      <c r="BE131" s="49" t="inlineStr">
        <is>
          <t>FONDO NACIONAL DEL AHORRO</t>
        </is>
      </c>
      <c r="BF131" s="49" t="n">
        <v>6.96</v>
      </c>
      <c r="BG131" s="49" t="n">
        <v>220</v>
      </c>
      <c r="BH131" s="49" t="n">
        <v>15</v>
      </c>
      <c r="BI131" s="49" t="inlineStr">
        <is>
          <t xml:space="preserve">0           </t>
        </is>
      </c>
      <c r="BJ131" s="49" t="inlineStr">
        <is>
          <t xml:space="preserve">NO APLICA                               </t>
        </is>
      </c>
      <c r="BK131" s="49" t="inlineStr">
        <is>
          <t>02</t>
        </is>
      </c>
      <c r="BL131" s="49" t="inlineStr">
        <is>
          <t xml:space="preserve">Caldas                                  </t>
        </is>
      </c>
      <c r="BM131" s="49" t="inlineStr">
        <is>
          <t>02</t>
        </is>
      </c>
      <c r="BN131" s="49" t="inlineStr">
        <is>
          <t xml:space="preserve">Supia                                   </t>
        </is>
      </c>
      <c r="BO131" s="49" t="inlineStr">
        <is>
          <t>0</t>
        </is>
      </c>
      <c r="BP131" s="49" t="inlineStr">
        <is>
          <t>NO APLICA</t>
        </is>
      </c>
      <c r="BQ131" s="49" t="inlineStr">
        <is>
          <t>0</t>
        </is>
      </c>
      <c r="BR131" s="49" t="inlineStr">
        <is>
          <t>NO APLICA</t>
        </is>
      </c>
      <c r="BS131" s="49" t="inlineStr">
        <is>
          <t>0</t>
        </is>
      </c>
      <c r="BT131" s="49" t="inlineStr">
        <is>
          <t>NO APLICA</t>
        </is>
      </c>
      <c r="BU131" s="49" t="inlineStr">
        <is>
          <t>0</t>
        </is>
      </c>
      <c r="BV131" s="49" t="inlineStr">
        <is>
          <t>NO APLICA</t>
        </is>
      </c>
      <c r="BW131" s="49" t="inlineStr">
        <is>
          <t>No</t>
        </is>
      </c>
      <c r="BX131" s="49" t="inlineStr">
        <is>
          <t xml:space="preserve">No Aplica                     </t>
        </is>
      </c>
    </row>
    <row r="132" ht="30" customHeight="1">
      <c r="A132" s="49" t="n">
        <v>91531957</v>
      </c>
      <c r="B132" s="49" t="inlineStr">
        <is>
          <t xml:space="preserve"> 172</t>
        </is>
      </c>
      <c r="C132" s="49" t="n">
        <v>91531957</v>
      </c>
      <c r="D132" s="49" t="inlineStr">
        <is>
          <t>CC</t>
        </is>
      </c>
      <c r="E132" s="49" t="inlineStr">
        <is>
          <t>RODRGUEZ ROJAS JOSE ANTONIO</t>
        </is>
      </c>
      <c r="F132" s="49" t="inlineStr">
        <is>
          <t>F</t>
        </is>
      </c>
      <c r="G132" s="49" t="inlineStr">
        <is>
          <t xml:space="preserve">A  </t>
        </is>
      </c>
      <c r="H132" s="49" t="inlineStr">
        <is>
          <t>+</t>
        </is>
      </c>
      <c r="I132" s="49" t="inlineStr">
        <is>
          <t>SOLTERO</t>
        </is>
      </c>
      <c r="J132" s="49" t="inlineStr">
        <is>
          <t xml:space="preserve">BUCARAMANGA                   </t>
        </is>
      </c>
      <c r="K132" s="49" t="n">
        <v>0</v>
      </c>
      <c r="L132" s="49" t="inlineStr">
        <is>
          <t>16/08/1984</t>
        </is>
      </c>
      <c r="M132" s="49" t="inlineStr">
        <is>
          <t xml:space="preserve">SUPIA                         </t>
        </is>
      </c>
      <c r="N132" s="49" t="inlineStr">
        <is>
          <t xml:space="preserve">0000                </t>
        </is>
      </c>
      <c r="O132" s="49" t="inlineStr">
        <is>
          <t>3125206293</t>
        </is>
      </c>
      <c r="P132" s="49" t="inlineStr">
        <is>
          <t>Cll 113a # 45-50</t>
        </is>
      </c>
      <c r="Q132" s="49" t="inlineStr">
        <is>
          <t>joseant_84@hotmail.com</t>
        </is>
      </c>
      <c r="R132" s="49" t="inlineStr">
        <is>
          <t>COORDINADOR DE SEGURIDAD Y SALUD EN EL TRABAJO</t>
        </is>
      </c>
      <c r="S132" s="108" t="n">
        <v>91.66666600000001</v>
      </c>
      <c r="T132" s="108" t="n">
        <v>0</v>
      </c>
      <c r="U132" s="108" t="n">
        <v>220</v>
      </c>
      <c r="V132" s="49" t="inlineStr">
        <is>
          <t>CONSIG. CTA AHORROS</t>
        </is>
      </c>
      <c r="W132" s="49" t="inlineStr">
        <is>
          <t xml:space="preserve">BANCO DE BOGOTÁ               </t>
        </is>
      </c>
      <c r="X132" s="49" t="inlineStr">
        <is>
          <t xml:space="preserve">752186882                </t>
        </is>
      </c>
      <c r="Y132" s="49" t="inlineStr">
        <is>
          <t xml:space="preserve">NO APLICA                     </t>
        </is>
      </c>
      <c r="Z132" s="49" t="inlineStr">
        <is>
          <t>CM0204-ESG</t>
        </is>
      </c>
      <c r="AA132" s="49" t="inlineStr">
        <is>
          <t>CM0204-ESGHSE</t>
        </is>
      </c>
      <c r="AB132" s="49" t="inlineStr">
        <is>
          <t xml:space="preserve">01 </t>
        </is>
      </c>
      <c r="AC132" s="49" t="inlineStr">
        <is>
          <t xml:space="preserve">                </t>
        </is>
      </c>
      <c r="AD132" s="49" t="inlineStr">
        <is>
          <t>LEY 50</t>
        </is>
      </c>
      <c r="AE132" s="49" t="inlineStr">
        <is>
          <t>No</t>
        </is>
      </c>
      <c r="AF132" s="49" t="inlineStr">
        <is>
          <t>Normal</t>
        </is>
      </c>
      <c r="AG132" s="49" t="n"/>
      <c r="AH132" s="49" t="inlineStr">
        <is>
          <t>Si</t>
        </is>
      </c>
      <c r="AI132" s="49" t="inlineStr">
        <is>
          <t xml:space="preserve">Normal              </t>
        </is>
      </c>
      <c r="AJ132" s="49" t="inlineStr">
        <is>
          <t xml:space="preserve">Quincenal                     </t>
        </is>
      </c>
      <c r="AK132" s="49" t="inlineStr">
        <is>
          <t>NO</t>
        </is>
      </c>
      <c r="AL132" s="49" t="inlineStr">
        <is>
          <t>NO</t>
        </is>
      </c>
      <c r="AM132" s="49" t="inlineStr">
        <is>
          <t>03/03/2026</t>
        </is>
      </c>
      <c r="AN132" s="49" t="n"/>
      <c r="AO132" s="49" t="n"/>
      <c r="AP132" s="49" t="inlineStr">
        <is>
          <t xml:space="preserve">NO APLICA                </t>
        </is>
      </c>
      <c r="AQ132" s="49" t="n">
        <v>230</v>
      </c>
      <c r="AR132" s="49" t="inlineStr">
        <is>
          <t>01</t>
        </is>
      </c>
      <c r="AS132" s="49" t="n">
        <v>1</v>
      </c>
      <c r="AT132" s="49" t="inlineStr">
        <is>
          <t>No</t>
        </is>
      </c>
      <c r="AU132" s="49" t="n">
        <v>0</v>
      </c>
      <c r="AV132" s="108" t="n">
        <v>0</v>
      </c>
      <c r="AW132" s="108" t="n">
        <v>0</v>
      </c>
      <c r="AX132" s="108" t="n">
        <v>0</v>
      </c>
      <c r="AY132" s="49" t="inlineStr">
        <is>
          <t>No</t>
        </is>
      </c>
      <c r="AZ132" s="49" t="n">
        <v>0</v>
      </c>
      <c r="BA132" s="49" t="inlineStr">
        <is>
          <t>NUEVA E.P.S</t>
        </is>
      </c>
      <c r="BB132" s="49" t="inlineStr">
        <is>
          <t>COLPENSIONES - I.S.S. PENSION</t>
        </is>
      </c>
      <c r="BC132" s="49" t="inlineStr">
        <is>
          <t>CCF COMFENALCO SANTANDER</t>
        </is>
      </c>
      <c r="BD132" s="49" t="inlineStr">
        <is>
          <t>RIESGOS PROFESIONALES COLMENA S.A.</t>
        </is>
      </c>
      <c r="BE132" s="49" t="inlineStr">
        <is>
          <t>PROTECCION CESANTIAS</t>
        </is>
      </c>
      <c r="BF132" s="49" t="n">
        <v>6.96</v>
      </c>
      <c r="BG132" s="49" t="n">
        <v>220</v>
      </c>
      <c r="BH132" s="49" t="n">
        <v>15</v>
      </c>
      <c r="BI132" s="49" t="inlineStr">
        <is>
          <t xml:space="preserve">0           </t>
        </is>
      </c>
      <c r="BJ132" s="49" t="inlineStr">
        <is>
          <t xml:space="preserve">NO APLICA                               </t>
        </is>
      </c>
      <c r="BK132" s="49" t="inlineStr">
        <is>
          <t>02</t>
        </is>
      </c>
      <c r="BL132" s="49" t="inlineStr">
        <is>
          <t xml:space="preserve">Caldas                                  </t>
        </is>
      </c>
      <c r="BM132" s="49" t="inlineStr">
        <is>
          <t>02</t>
        </is>
      </c>
      <c r="BN132" s="49" t="inlineStr">
        <is>
          <t xml:space="preserve">Supia                                   </t>
        </is>
      </c>
      <c r="BO132" s="49" t="inlineStr">
        <is>
          <t>0</t>
        </is>
      </c>
      <c r="BP132" s="49" t="inlineStr">
        <is>
          <t>NO APLICA</t>
        </is>
      </c>
      <c r="BQ132" s="49" t="inlineStr">
        <is>
          <t>0</t>
        </is>
      </c>
      <c r="BR132" s="49" t="inlineStr">
        <is>
          <t>NO APLICA</t>
        </is>
      </c>
      <c r="BS132" s="49" t="inlineStr">
        <is>
          <t>0</t>
        </is>
      </c>
      <c r="BT132" s="49" t="inlineStr">
        <is>
          <t>NO APLICA</t>
        </is>
      </c>
      <c r="BU132" s="49" t="inlineStr">
        <is>
          <t>0</t>
        </is>
      </c>
      <c r="BV132" s="49" t="inlineStr">
        <is>
          <t>NO APLICA</t>
        </is>
      </c>
      <c r="BW132" s="49" t="inlineStr">
        <is>
          <t>No</t>
        </is>
      </c>
      <c r="BX132" s="49" t="inlineStr">
        <is>
          <t xml:space="preserve">No Aplica                     </t>
        </is>
      </c>
    </row>
    <row r="133" ht="15" customHeight="1">
      <c r="A133" s="49" t="n">
        <v>93341202</v>
      </c>
      <c r="B133" s="49" t="inlineStr">
        <is>
          <t>007</t>
        </is>
      </c>
      <c r="C133" s="49" t="n">
        <v>93341202</v>
      </c>
      <c r="D133" s="49" t="inlineStr">
        <is>
          <t>CC</t>
        </is>
      </c>
      <c r="E133" s="49" t="inlineStr">
        <is>
          <t>HIDALGO CASTILLO YESID</t>
        </is>
      </c>
      <c r="F133" s="49" t="inlineStr">
        <is>
          <t>M</t>
        </is>
      </c>
      <c r="G133" s="49" t="inlineStr">
        <is>
          <t xml:space="preserve">O  </t>
        </is>
      </c>
      <c r="H133" s="49" t="inlineStr">
        <is>
          <t>+</t>
        </is>
      </c>
      <c r="I133" s="49" t="inlineStr">
        <is>
          <t>CASADO</t>
        </is>
      </c>
      <c r="J133" s="49" t="inlineStr">
        <is>
          <t xml:space="preserve">FALAN                         </t>
        </is>
      </c>
      <c r="K133" s="49" t="n">
        <v>0</v>
      </c>
      <c r="L133" s="49" t="inlineStr">
        <is>
          <t>11/11/1973</t>
        </is>
      </c>
      <c r="M133" s="49" t="inlineStr">
        <is>
          <t xml:space="preserve">MEDELLÍN                      </t>
        </is>
      </c>
      <c r="N133" s="49" t="inlineStr">
        <is>
          <t xml:space="preserve">3125553502          </t>
        </is>
      </c>
      <c r="O133" s="49" t="inlineStr">
        <is>
          <t>3125553502</t>
        </is>
      </c>
      <c r="P133" s="49" t="inlineStr">
        <is>
          <t xml:space="preserve">Carrera 77 No. 60 45 apto 721           </t>
        </is>
      </c>
      <c r="Q133" s="49" t="inlineStr">
        <is>
          <t>yeshidcas1973@gmail.com</t>
        </is>
      </c>
      <c r="R133" s="49" t="inlineStr">
        <is>
          <t>JEFE DE PROTECCION</t>
        </is>
      </c>
      <c r="S133" s="108" t="n">
        <v>91.66666600000001</v>
      </c>
      <c r="T133" s="108" t="n">
        <v>0</v>
      </c>
      <c r="U133" s="108" t="n">
        <v>220</v>
      </c>
      <c r="V133" s="49" t="inlineStr">
        <is>
          <t>CONSIG. CTA AHORROS</t>
        </is>
      </c>
      <c r="W133" s="49" t="inlineStr">
        <is>
          <t xml:space="preserve">BBVA COLOMBIA                 </t>
        </is>
      </c>
      <c r="X133" s="49" t="inlineStr">
        <is>
          <t xml:space="preserve">981232382                </t>
        </is>
      </c>
      <c r="Y133" s="49" t="inlineStr">
        <is>
          <t xml:space="preserve">NO APLICA                     </t>
        </is>
      </c>
      <c r="Z133" s="49" t="inlineStr">
        <is>
          <t>CM0400-PRO</t>
        </is>
      </c>
      <c r="AA133" s="49" t="inlineStr">
        <is>
          <t>CM0400-PRO</t>
        </is>
      </c>
      <c r="AB133" s="49" t="inlineStr">
        <is>
          <t xml:space="preserve">01 </t>
        </is>
      </c>
      <c r="AC133" s="49" t="inlineStr">
        <is>
          <t xml:space="preserve">0               </t>
        </is>
      </c>
      <c r="AD133" s="49" t="inlineStr">
        <is>
          <t>LEY 50</t>
        </is>
      </c>
      <c r="AE133" s="49" t="inlineStr">
        <is>
          <t>No</t>
        </is>
      </c>
      <c r="AF133" s="49" t="inlineStr">
        <is>
          <t>Normal</t>
        </is>
      </c>
      <c r="AG133" s="49" t="n"/>
      <c r="AH133" s="49" t="inlineStr">
        <is>
          <t>Si</t>
        </is>
      </c>
      <c r="AI133" s="49" t="inlineStr">
        <is>
          <t xml:space="preserve">Normal              </t>
        </is>
      </c>
      <c r="AJ133" s="49" t="inlineStr">
        <is>
          <t xml:space="preserve">Quincenal                     </t>
        </is>
      </c>
      <c r="AK133" s="49" t="inlineStr">
        <is>
          <t>NO</t>
        </is>
      </c>
      <c r="AL133" s="49" t="inlineStr">
        <is>
          <t>NO</t>
        </is>
      </c>
      <c r="AM133" s="49" t="inlineStr">
        <is>
          <t>01/10/2020</t>
        </is>
      </c>
      <c r="AN133" s="49" t="n"/>
      <c r="AO133" s="49" t="n"/>
      <c r="AP133" s="49" t="inlineStr">
        <is>
          <t xml:space="preserve">NO APLICA                </t>
        </is>
      </c>
      <c r="AQ133" s="49" t="n">
        <v>79</v>
      </c>
      <c r="AR133" s="49" t="inlineStr">
        <is>
          <t>01</t>
        </is>
      </c>
      <c r="AS133" s="49" t="n">
        <v>2</v>
      </c>
      <c r="AT133" s="49" t="inlineStr">
        <is>
          <t>No</t>
        </is>
      </c>
      <c r="AU133" s="49" t="n">
        <v>7.13</v>
      </c>
      <c r="AV133" s="108" t="n">
        <v>0</v>
      </c>
      <c r="AW133" s="108" t="n">
        <v>1205403</v>
      </c>
      <c r="AX133" s="108" t="n">
        <v>0</v>
      </c>
      <c r="AY133" s="49" t="inlineStr">
        <is>
          <t>No</t>
        </is>
      </c>
      <c r="AZ133" s="49" t="n">
        <v>376635</v>
      </c>
      <c r="BA133" s="49" t="inlineStr">
        <is>
          <t>FOSYGA</t>
        </is>
      </c>
      <c r="BB133" s="49" t="inlineStr">
        <is>
          <t>PROTECCION A.F.P</t>
        </is>
      </c>
      <c r="BC133" s="49" t="inlineStr">
        <is>
          <t>CCF COMFENALCO ANTIOQUIA</t>
        </is>
      </c>
      <c r="BD133" s="49" t="inlineStr">
        <is>
          <t>RIESGOS PROFESIONALES COLMENA S.A.</t>
        </is>
      </c>
      <c r="BE133" s="49" t="inlineStr">
        <is>
          <t>PORVENIR CESANTIAS</t>
        </is>
      </c>
      <c r="BF133" s="49" t="n">
        <v>6.96</v>
      </c>
      <c r="BG133" s="49" t="n">
        <v>220</v>
      </c>
      <c r="BH133" s="49" t="n">
        <v>15</v>
      </c>
      <c r="BI133" s="49" t="inlineStr">
        <is>
          <t xml:space="preserve">0           </t>
        </is>
      </c>
      <c r="BJ133" s="49" t="inlineStr">
        <is>
          <t xml:space="preserve">NO APLICA                               </t>
        </is>
      </c>
      <c r="BK133" s="49" t="inlineStr">
        <is>
          <t>02</t>
        </is>
      </c>
      <c r="BL133" s="49" t="inlineStr">
        <is>
          <t xml:space="preserve">Caldas                                  </t>
        </is>
      </c>
      <c r="BM133" s="49" t="inlineStr">
        <is>
          <t>02</t>
        </is>
      </c>
      <c r="BN133" s="49" t="inlineStr">
        <is>
          <t xml:space="preserve">Supia                                   </t>
        </is>
      </c>
      <c r="BO133" s="49" t="inlineStr">
        <is>
          <t>0</t>
        </is>
      </c>
      <c r="BP133" s="49" t="inlineStr">
        <is>
          <t>NO APLICA</t>
        </is>
      </c>
      <c r="BQ133" s="49" t="inlineStr">
        <is>
          <t>0</t>
        </is>
      </c>
      <c r="BR133" s="49" t="inlineStr">
        <is>
          <t>NO APLICA</t>
        </is>
      </c>
      <c r="BS133" s="49" t="inlineStr">
        <is>
          <t>0</t>
        </is>
      </c>
      <c r="BT133" s="49" t="inlineStr">
        <is>
          <t>NO APLICA</t>
        </is>
      </c>
      <c r="BU133" s="49" t="inlineStr">
        <is>
          <t>0</t>
        </is>
      </c>
      <c r="BV133" s="49" t="inlineStr">
        <is>
          <t>NO APLICA</t>
        </is>
      </c>
      <c r="BW133" s="49" t="inlineStr">
        <is>
          <t>No</t>
        </is>
      </c>
      <c r="BX133" s="49" t="inlineStr">
        <is>
          <t xml:space="preserve">No Aplica                     </t>
        </is>
      </c>
    </row>
    <row r="134" ht="22.5" customHeight="1">
      <c r="A134" s="49" t="n">
        <v>1001014188</v>
      </c>
      <c r="B134" s="49" t="inlineStr">
        <is>
          <t xml:space="preserve"> 111</t>
        </is>
      </c>
      <c r="C134" s="49" t="n">
        <v>1001014188</v>
      </c>
      <c r="D134" s="49" t="inlineStr">
        <is>
          <t>CC</t>
        </is>
      </c>
      <c r="E134" s="49" t="inlineStr">
        <is>
          <t>TILANO MONTOYA LAURA</t>
        </is>
      </c>
      <c r="F134" s="49" t="inlineStr">
        <is>
          <t>F</t>
        </is>
      </c>
      <c r="G134" s="49" t="inlineStr">
        <is>
          <t xml:space="preserve">A  </t>
        </is>
      </c>
      <c r="H134" s="49" t="inlineStr">
        <is>
          <t>+</t>
        </is>
      </c>
      <c r="I134" s="49" t="inlineStr">
        <is>
          <t>SOLTERO</t>
        </is>
      </c>
      <c r="J134" s="49" t="inlineStr">
        <is>
          <t xml:space="preserve">MEDELLÍN                      </t>
        </is>
      </c>
      <c r="K134" s="49" t="n">
        <v>0</v>
      </c>
      <c r="L134" s="49" t="inlineStr">
        <is>
          <t>11/01/2002</t>
        </is>
      </c>
      <c r="M134" s="49" t="inlineStr">
        <is>
          <t xml:space="preserve">SUPIA                         </t>
        </is>
      </c>
      <c r="N134" s="49" t="inlineStr">
        <is>
          <t xml:space="preserve">0                   </t>
        </is>
      </c>
      <c r="O134" s="49" t="inlineStr">
        <is>
          <t>3145237190</t>
        </is>
      </c>
      <c r="P134" s="49" t="inlineStr">
        <is>
          <t>MEDELLIN</t>
        </is>
      </c>
      <c r="Q134" s="49" t="inlineStr">
        <is>
          <t>lauratilano20@gmail.com</t>
        </is>
      </c>
      <c r="R134" s="49" t="inlineStr">
        <is>
          <t>ASISTENTE EJECUTIVA DE PRESIDENCIA</t>
        </is>
      </c>
      <c r="S134" s="108" t="n">
        <v>91.66666600000001</v>
      </c>
      <c r="T134" s="108" t="n">
        <v>0</v>
      </c>
      <c r="U134" s="108" t="n">
        <v>220</v>
      </c>
      <c r="V134" s="49" t="inlineStr">
        <is>
          <t>CONSIG. CTA AHORROS</t>
        </is>
      </c>
      <c r="W134" s="49" t="inlineStr">
        <is>
          <t xml:space="preserve">BANCOLOMBIA S.A.              </t>
        </is>
      </c>
      <c r="X134" s="49" t="inlineStr">
        <is>
          <t xml:space="preserve">34286438310              </t>
        </is>
      </c>
      <c r="Y134" s="49" t="inlineStr">
        <is>
          <t xml:space="preserve">NO APLICA                     </t>
        </is>
      </c>
      <c r="Z134" s="49" t="inlineStr">
        <is>
          <t>CM0600-PRE</t>
        </is>
      </c>
      <c r="AA134" s="49" t="inlineStr">
        <is>
          <t>CM0600-PRE</t>
        </is>
      </c>
      <c r="AB134" s="49" t="inlineStr">
        <is>
          <t xml:space="preserve">01 </t>
        </is>
      </c>
      <c r="AC134" s="49" t="inlineStr">
        <is>
          <t xml:space="preserve">                </t>
        </is>
      </c>
      <c r="AD134" s="49" t="inlineStr">
        <is>
          <t>LEY 50</t>
        </is>
      </c>
      <c r="AE134" s="49" t="inlineStr">
        <is>
          <t>No</t>
        </is>
      </c>
      <c r="AF134" s="49" t="inlineStr">
        <is>
          <t>Normal</t>
        </is>
      </c>
      <c r="AG134" s="49" t="n"/>
      <c r="AH134" s="49" t="inlineStr">
        <is>
          <t>Si</t>
        </is>
      </c>
      <c r="AI134" s="49" t="inlineStr">
        <is>
          <t xml:space="preserve">Normal              </t>
        </is>
      </c>
      <c r="AJ134" s="49" t="inlineStr">
        <is>
          <t xml:space="preserve">Quincenal                     </t>
        </is>
      </c>
      <c r="AK134" s="49" t="inlineStr">
        <is>
          <t>NO</t>
        </is>
      </c>
      <c r="AL134" s="49" t="inlineStr">
        <is>
          <t>NO</t>
        </is>
      </c>
      <c r="AM134" s="49" t="inlineStr">
        <is>
          <t>20/03/2025</t>
        </is>
      </c>
      <c r="AN134" s="49" t="n"/>
      <c r="AO134" s="49" t="n"/>
      <c r="AP134" s="49" t="inlineStr">
        <is>
          <t xml:space="preserve">NO APLICA                </t>
        </is>
      </c>
      <c r="AQ134" s="49" t="n">
        <v>169</v>
      </c>
      <c r="AR134" s="49" t="inlineStr">
        <is>
          <t>01</t>
        </is>
      </c>
      <c r="AS134" s="49" t="n">
        <v>1</v>
      </c>
      <c r="AT134" s="49" t="inlineStr">
        <is>
          <t>No</t>
        </is>
      </c>
      <c r="AU134" s="49" t="n">
        <v>0</v>
      </c>
      <c r="AV134" s="108" t="n">
        <v>0</v>
      </c>
      <c r="AW134" s="108" t="n">
        <v>0</v>
      </c>
      <c r="AX134" s="108" t="n">
        <v>0</v>
      </c>
      <c r="AY134" s="49" t="inlineStr">
        <is>
          <t>No</t>
        </is>
      </c>
      <c r="AZ134" s="49" t="n">
        <v>0</v>
      </c>
      <c r="BA134" s="49" t="inlineStr">
        <is>
          <t>SURA E.P.S.</t>
        </is>
      </c>
      <c r="BB134" s="49" t="inlineStr">
        <is>
          <t>COLPENSIONES - I.S.S. PENSION</t>
        </is>
      </c>
      <c r="BC134" s="49" t="inlineStr">
        <is>
          <t>CCF COMFENALCO ANTIOQUIA</t>
        </is>
      </c>
      <c r="BD134" s="49" t="inlineStr">
        <is>
          <t>RIESGOS PROFESIONALES COLMENA S.A.</t>
        </is>
      </c>
      <c r="BE134" s="49" t="inlineStr">
        <is>
          <t>PROTECCION CESANTIAS</t>
        </is>
      </c>
      <c r="BF134" s="49" t="n">
        <v>0.522</v>
      </c>
      <c r="BG134" s="49" t="n">
        <v>220</v>
      </c>
      <c r="BH134" s="49" t="n">
        <v>15</v>
      </c>
      <c r="BI134" s="49" t="inlineStr">
        <is>
          <t xml:space="preserve">0           </t>
        </is>
      </c>
      <c r="BJ134" s="49" t="inlineStr">
        <is>
          <t xml:space="preserve">NO APLICA                               </t>
        </is>
      </c>
      <c r="BK134" s="49" t="inlineStr">
        <is>
          <t>02</t>
        </is>
      </c>
      <c r="BL134" s="49" t="inlineStr">
        <is>
          <t xml:space="preserve">Caldas                                  </t>
        </is>
      </c>
      <c r="BM134" s="49" t="inlineStr">
        <is>
          <t>02</t>
        </is>
      </c>
      <c r="BN134" s="49" t="inlineStr">
        <is>
          <t xml:space="preserve">Supia                                   </t>
        </is>
      </c>
      <c r="BO134" s="49" t="inlineStr">
        <is>
          <t>0</t>
        </is>
      </c>
      <c r="BP134" s="49" t="inlineStr">
        <is>
          <t>NO APLICA</t>
        </is>
      </c>
      <c r="BQ134" s="49" t="inlineStr">
        <is>
          <t>0</t>
        </is>
      </c>
      <c r="BR134" s="49" t="inlineStr">
        <is>
          <t>NO APLICA</t>
        </is>
      </c>
      <c r="BS134" s="49" t="inlineStr">
        <is>
          <t>0</t>
        </is>
      </c>
      <c r="BT134" s="49" t="inlineStr">
        <is>
          <t>NO APLICA</t>
        </is>
      </c>
      <c r="BU134" s="49" t="inlineStr">
        <is>
          <t>0</t>
        </is>
      </c>
      <c r="BV134" s="49" t="inlineStr">
        <is>
          <t>NO APLICA</t>
        </is>
      </c>
      <c r="BW134" s="49" t="inlineStr">
        <is>
          <t>No</t>
        </is>
      </c>
      <c r="BX134" s="49" t="inlineStr">
        <is>
          <t xml:space="preserve">No Aplica                     </t>
        </is>
      </c>
    </row>
    <row r="135" ht="22.5" customHeight="1">
      <c r="A135" s="49" t="n">
        <v>1001603682</v>
      </c>
      <c r="B135" s="49" t="inlineStr">
        <is>
          <t>034</t>
        </is>
      </c>
      <c r="C135" s="49" t="n">
        <v>1001603682</v>
      </c>
      <c r="D135" s="49" t="inlineStr">
        <is>
          <t>CC</t>
        </is>
      </c>
      <c r="E135" s="49" t="inlineStr">
        <is>
          <t>OCAMPO PALACO SERGIO ANDRES</t>
        </is>
      </c>
      <c r="F135" s="49" t="inlineStr">
        <is>
          <t>M</t>
        </is>
      </c>
      <c r="G135" s="49" t="inlineStr">
        <is>
          <t xml:space="preserve">O  </t>
        </is>
      </c>
      <c r="H135" s="49" t="inlineStr">
        <is>
          <t>+</t>
        </is>
      </c>
      <c r="I135" s="49" t="inlineStr">
        <is>
          <t>SOLTERO</t>
        </is>
      </c>
      <c r="J135" s="49" t="inlineStr">
        <is>
          <t xml:space="preserve">CARAMANTA                     </t>
        </is>
      </c>
      <c r="K135" s="49" t="n">
        <v>0</v>
      </c>
      <c r="L135" s="49" t="inlineStr">
        <is>
          <t>23/04/2002</t>
        </is>
      </c>
      <c r="M135" s="49" t="inlineStr">
        <is>
          <t xml:space="preserve">MARMATO                       </t>
        </is>
      </c>
      <c r="N135" s="49" t="inlineStr">
        <is>
          <t xml:space="preserve">3114103316          </t>
        </is>
      </c>
      <c r="O135" s="49" t="inlineStr">
        <is>
          <t>3114103316</t>
        </is>
      </c>
      <c r="P135" s="49" t="inlineStr">
        <is>
          <t>LA CUESTA</t>
        </is>
      </c>
      <c r="Q135" s="49" t="inlineStr">
        <is>
          <t>sergio.ocampo.p@gmail.com</t>
        </is>
      </c>
      <c r="R135" s="49" t="inlineStr">
        <is>
          <t>ANALISTA HSE I</t>
        </is>
      </c>
      <c r="S135" s="108" t="n">
        <v>91.66666600000001</v>
      </c>
      <c r="T135" s="108" t="n">
        <v>0</v>
      </c>
      <c r="U135" s="108" t="n">
        <v>220</v>
      </c>
      <c r="V135" s="49" t="inlineStr">
        <is>
          <t>CONSIG. CTA AHORROS</t>
        </is>
      </c>
      <c r="W135" s="49" t="inlineStr">
        <is>
          <t xml:space="preserve">BANCO DAVIVIENDA S.A.         </t>
        </is>
      </c>
      <c r="X135" s="49" t="inlineStr">
        <is>
          <t xml:space="preserve">0550488433063259         </t>
        </is>
      </c>
      <c r="Y135" s="49" t="inlineStr">
        <is>
          <t xml:space="preserve">NO APLICA                     </t>
        </is>
      </c>
      <c r="Z135" s="49" t="inlineStr">
        <is>
          <t>CM0204-ESG</t>
        </is>
      </c>
      <c r="AA135" s="49" t="inlineStr">
        <is>
          <t>CM0204-ESGHSE</t>
        </is>
      </c>
      <c r="AB135" s="49" t="inlineStr">
        <is>
          <t xml:space="preserve">01 </t>
        </is>
      </c>
      <c r="AC135" s="49" t="inlineStr">
        <is>
          <t xml:space="preserve">0               </t>
        </is>
      </c>
      <c r="AD135" s="49" t="inlineStr">
        <is>
          <t>LEY 50</t>
        </is>
      </c>
      <c r="AE135" s="49" t="inlineStr">
        <is>
          <t>No</t>
        </is>
      </c>
      <c r="AF135" s="49" t="inlineStr">
        <is>
          <t>Normal</t>
        </is>
      </c>
      <c r="AG135" s="49" t="n"/>
      <c r="AH135" s="49" t="inlineStr">
        <is>
          <t>Si</t>
        </is>
      </c>
      <c r="AI135" s="49" t="inlineStr">
        <is>
          <t xml:space="preserve">Normal              </t>
        </is>
      </c>
      <c r="AJ135" s="49" t="inlineStr">
        <is>
          <t xml:space="preserve">Quincenal                     </t>
        </is>
      </c>
      <c r="AK135" s="49" t="inlineStr">
        <is>
          <t>NO</t>
        </is>
      </c>
      <c r="AL135" s="49" t="inlineStr">
        <is>
          <t>NO</t>
        </is>
      </c>
      <c r="AM135" s="49" t="inlineStr">
        <is>
          <t>19/08/2022</t>
        </is>
      </c>
      <c r="AN135" s="49" t="n"/>
      <c r="AO135" s="49" t="n"/>
      <c r="AP135" s="49" t="inlineStr">
        <is>
          <t xml:space="preserve">NO APLICA                </t>
        </is>
      </c>
      <c r="AQ135" s="49" t="n">
        <v>1</v>
      </c>
      <c r="AR135" s="49" t="inlineStr">
        <is>
          <t>01</t>
        </is>
      </c>
      <c r="AS135" s="49" t="n">
        <v>1</v>
      </c>
      <c r="AT135" s="49" t="inlineStr">
        <is>
          <t>No</t>
        </is>
      </c>
      <c r="AU135" s="49" t="n">
        <v>0</v>
      </c>
      <c r="AV135" s="108" t="n">
        <v>0</v>
      </c>
      <c r="AW135" s="108" t="n">
        <v>0</v>
      </c>
      <c r="AX135" s="108" t="n">
        <v>0</v>
      </c>
      <c r="AY135" s="49" t="inlineStr">
        <is>
          <t>No</t>
        </is>
      </c>
      <c r="AZ135" s="49" t="n">
        <v>99947</v>
      </c>
      <c r="BA135" s="49" t="inlineStr">
        <is>
          <t>SALUD TOTAL E.P.S.</t>
        </is>
      </c>
      <c r="BB135" s="49" t="inlineStr">
        <is>
          <t>PORVENIR A.F.P.</t>
        </is>
      </c>
      <c r="BC135" s="49" t="inlineStr">
        <is>
          <t>CCF DE CALDAS</t>
        </is>
      </c>
      <c r="BD135" s="49" t="inlineStr">
        <is>
          <t>RIESGOS PROFESIONALES COLMENA S.A.</t>
        </is>
      </c>
      <c r="BE135" s="49" t="inlineStr">
        <is>
          <t>PORVENIR CESANTIAS</t>
        </is>
      </c>
      <c r="BF135" s="49" t="n">
        <v>6.96</v>
      </c>
      <c r="BG135" s="49" t="n">
        <v>220</v>
      </c>
      <c r="BH135" s="49" t="n">
        <v>15</v>
      </c>
      <c r="BI135" s="49" t="inlineStr">
        <is>
          <t xml:space="preserve">0           </t>
        </is>
      </c>
      <c r="BJ135" s="49" t="inlineStr">
        <is>
          <t xml:space="preserve">NO APLICA                               </t>
        </is>
      </c>
      <c r="BK135" s="49" t="inlineStr">
        <is>
          <t>02</t>
        </is>
      </c>
      <c r="BL135" s="49" t="inlineStr">
        <is>
          <t xml:space="preserve">Caldas                                  </t>
        </is>
      </c>
      <c r="BM135" s="49" t="inlineStr">
        <is>
          <t>03</t>
        </is>
      </c>
      <c r="BN135" s="49" t="inlineStr">
        <is>
          <t xml:space="preserve">Marmato                                 </t>
        </is>
      </c>
      <c r="BO135" s="49" t="inlineStr">
        <is>
          <t>0</t>
        </is>
      </c>
      <c r="BP135" s="49" t="inlineStr">
        <is>
          <t>NO APLICA</t>
        </is>
      </c>
      <c r="BQ135" s="49" t="inlineStr">
        <is>
          <t>0</t>
        </is>
      </c>
      <c r="BR135" s="49" t="inlineStr">
        <is>
          <t>NO APLICA</t>
        </is>
      </c>
      <c r="BS135" s="49" t="inlineStr">
        <is>
          <t>0</t>
        </is>
      </c>
      <c r="BT135" s="49" t="inlineStr">
        <is>
          <t>NO APLICA</t>
        </is>
      </c>
      <c r="BU135" s="49" t="inlineStr">
        <is>
          <t>0</t>
        </is>
      </c>
      <c r="BV135" s="49" t="inlineStr">
        <is>
          <t>NO APLICA</t>
        </is>
      </c>
      <c r="BW135" s="49" t="inlineStr">
        <is>
          <t>No</t>
        </is>
      </c>
      <c r="BX135" s="49" t="inlineStr">
        <is>
          <t xml:space="preserve">No Aplica                     </t>
        </is>
      </c>
    </row>
    <row r="136" ht="22.5" customHeight="1">
      <c r="A136" s="49" t="n">
        <v>1002591008</v>
      </c>
      <c r="B136" s="49" t="inlineStr">
        <is>
          <t xml:space="preserve"> 162</t>
        </is>
      </c>
      <c r="C136" s="49" t="n">
        <v>1002591008</v>
      </c>
      <c r="D136" s="49" t="inlineStr">
        <is>
          <t>CC</t>
        </is>
      </c>
      <c r="E136" s="49" t="inlineStr">
        <is>
          <t>LONDOÑO GIL SIMON</t>
        </is>
      </c>
      <c r="F136" s="49" t="inlineStr">
        <is>
          <t>M</t>
        </is>
      </c>
      <c r="G136" s="49" t="inlineStr">
        <is>
          <t xml:space="preserve">A  </t>
        </is>
      </c>
      <c r="H136" s="49" t="inlineStr">
        <is>
          <t>+</t>
        </is>
      </c>
      <c r="I136" s="49" t="inlineStr">
        <is>
          <t>SOLTERO</t>
        </is>
      </c>
      <c r="J136" s="49" t="inlineStr">
        <is>
          <t xml:space="preserve">MANIZALES                     </t>
        </is>
      </c>
      <c r="K136" s="49" t="n">
        <v>0</v>
      </c>
      <c r="L136" s="49" t="inlineStr">
        <is>
          <t>18/12/2001</t>
        </is>
      </c>
      <c r="M136" s="49" t="inlineStr">
        <is>
          <t xml:space="preserve">SUPIA                         </t>
        </is>
      </c>
      <c r="N136" s="49" t="inlineStr">
        <is>
          <t xml:space="preserve">0000                </t>
        </is>
      </c>
      <c r="O136" s="49" t="inlineStr">
        <is>
          <t>3137923455</t>
        </is>
      </c>
      <c r="P136" s="49" t="inlineStr">
        <is>
          <t>VDA Alto bonito, finca mi Sueño</t>
        </is>
      </c>
      <c r="Q136" s="49" t="inlineStr">
        <is>
          <t>simongil8@gmail.com</t>
        </is>
      </c>
      <c r="R136" s="49" t="inlineStr">
        <is>
          <t>GEOLOGO JUNIOR</t>
        </is>
      </c>
      <c r="S136" s="108" t="n">
        <v>91.66666600000001</v>
      </c>
      <c r="T136" s="108" t="n">
        <v>0</v>
      </c>
      <c r="U136" s="108" t="n">
        <v>220</v>
      </c>
      <c r="V136" s="49" t="inlineStr">
        <is>
          <t>CONSIG. CTA AHORROS</t>
        </is>
      </c>
      <c r="W136" s="49" t="inlineStr">
        <is>
          <t xml:space="preserve">BANCO DAVIVIENDA S.A.         </t>
        </is>
      </c>
      <c r="X136" s="49" t="inlineStr">
        <is>
          <t xml:space="preserve">0570488470659118         </t>
        </is>
      </c>
      <c r="Y136" s="49" t="inlineStr">
        <is>
          <t xml:space="preserve">NO APLICA                     </t>
        </is>
      </c>
      <c r="Z136" s="49" t="inlineStr">
        <is>
          <t>CM0100-EXP</t>
        </is>
      </c>
      <c r="AA136" s="49" t="inlineStr">
        <is>
          <t>CM0100-EXP</t>
        </is>
      </c>
      <c r="AB136" s="49" t="inlineStr">
        <is>
          <t xml:space="preserve">01 </t>
        </is>
      </c>
      <c r="AC136" s="49" t="inlineStr">
        <is>
          <t xml:space="preserve">                </t>
        </is>
      </c>
      <c r="AD136" s="49" t="inlineStr">
        <is>
          <t>LEY 50</t>
        </is>
      </c>
      <c r="AE136" s="49" t="inlineStr">
        <is>
          <t>No</t>
        </is>
      </c>
      <c r="AF136" s="49" t="inlineStr">
        <is>
          <t>Normal</t>
        </is>
      </c>
      <c r="AG136" s="49" t="n"/>
      <c r="AH136" s="49" t="inlineStr">
        <is>
          <t>Si</t>
        </is>
      </c>
      <c r="AI136" s="49" t="inlineStr">
        <is>
          <t xml:space="preserve">Normal              </t>
        </is>
      </c>
      <c r="AJ136" s="49" t="inlineStr">
        <is>
          <t xml:space="preserve">Quincenal                     </t>
        </is>
      </c>
      <c r="AK136" s="49" t="inlineStr">
        <is>
          <t>NO</t>
        </is>
      </c>
      <c r="AL136" s="49" t="inlineStr">
        <is>
          <t>NO</t>
        </is>
      </c>
      <c r="AM136" s="49" t="inlineStr">
        <is>
          <t>02/02/2026</t>
        </is>
      </c>
      <c r="AN136" s="49" t="n"/>
      <c r="AO136" s="49" t="n"/>
      <c r="AP136" s="49" t="inlineStr">
        <is>
          <t xml:space="preserve">NO APLICA                </t>
        </is>
      </c>
      <c r="AQ136" s="49" t="n">
        <v>221</v>
      </c>
      <c r="AR136" s="49" t="inlineStr">
        <is>
          <t>01</t>
        </is>
      </c>
      <c r="AS136" s="49" t="n">
        <v>1</v>
      </c>
      <c r="AT136" s="49" t="inlineStr">
        <is>
          <t>No</t>
        </is>
      </c>
      <c r="AU136" s="49" t="n">
        <v>0</v>
      </c>
      <c r="AV136" s="108" t="n">
        <v>0</v>
      </c>
      <c r="AW136" s="108" t="n">
        <v>0</v>
      </c>
      <c r="AX136" s="108" t="n">
        <v>0</v>
      </c>
      <c r="AY136" s="49" t="inlineStr">
        <is>
          <t>No</t>
        </is>
      </c>
      <c r="AZ136" s="49" t="n">
        <v>0</v>
      </c>
      <c r="BA136" s="49" t="inlineStr">
        <is>
          <t>SURA E.P.S.</t>
        </is>
      </c>
      <c r="BB136" s="49" t="inlineStr">
        <is>
          <t>COLPENSIONES - I.S.S. PENSION</t>
        </is>
      </c>
      <c r="BC136" s="49" t="inlineStr">
        <is>
          <t>CCF DE CALDAS</t>
        </is>
      </c>
      <c r="BD136" s="49" t="inlineStr">
        <is>
          <t>RIESGOS PROFESIONALES COLMENA S.A.</t>
        </is>
      </c>
      <c r="BE136" s="49" t="inlineStr">
        <is>
          <t>PROTECCION CESANTIAS</t>
        </is>
      </c>
      <c r="BF136" s="49" t="n">
        <v>6.96</v>
      </c>
      <c r="BG136" s="49" t="n">
        <v>220</v>
      </c>
      <c r="BH136" s="49" t="n">
        <v>15</v>
      </c>
      <c r="BI136" s="49" t="inlineStr">
        <is>
          <t xml:space="preserve">0           </t>
        </is>
      </c>
      <c r="BJ136" s="49" t="inlineStr">
        <is>
          <t xml:space="preserve">NO APLICA                               </t>
        </is>
      </c>
      <c r="BK136" s="49" t="inlineStr">
        <is>
          <t>02</t>
        </is>
      </c>
      <c r="BL136" s="49" t="inlineStr">
        <is>
          <t xml:space="preserve">Caldas                                  </t>
        </is>
      </c>
      <c r="BM136" s="49" t="inlineStr">
        <is>
          <t>02</t>
        </is>
      </c>
      <c r="BN136" s="49" t="inlineStr">
        <is>
          <t xml:space="preserve">Supia                                   </t>
        </is>
      </c>
      <c r="BO136" s="49" t="inlineStr">
        <is>
          <t>0</t>
        </is>
      </c>
      <c r="BP136" s="49" t="inlineStr">
        <is>
          <t>NO APLICA</t>
        </is>
      </c>
      <c r="BQ136" s="49" t="inlineStr">
        <is>
          <t>0</t>
        </is>
      </c>
      <c r="BR136" s="49" t="inlineStr">
        <is>
          <t>NO APLICA</t>
        </is>
      </c>
      <c r="BS136" s="49" t="inlineStr">
        <is>
          <t>0</t>
        </is>
      </c>
      <c r="BT136" s="49" t="inlineStr">
        <is>
          <t>NO APLICA</t>
        </is>
      </c>
      <c r="BU136" s="49" t="inlineStr">
        <is>
          <t>0</t>
        </is>
      </c>
      <c r="BV136" s="49" t="inlineStr">
        <is>
          <t>NO APLICA</t>
        </is>
      </c>
      <c r="BW136" s="49" t="inlineStr">
        <is>
          <t>No</t>
        </is>
      </c>
      <c r="BX136" s="49" t="inlineStr">
        <is>
          <t xml:space="preserve">No Aplica                     </t>
        </is>
      </c>
    </row>
    <row r="137" ht="22.5" customHeight="1">
      <c r="A137" s="49" t="n">
        <v>1002754987</v>
      </c>
      <c r="B137" s="49" t="inlineStr">
        <is>
          <t xml:space="preserve"> 149</t>
        </is>
      </c>
      <c r="C137" s="49" t="n">
        <v>1002754987</v>
      </c>
      <c r="D137" s="49" t="inlineStr">
        <is>
          <t>CC</t>
        </is>
      </c>
      <c r="E137" s="49" t="inlineStr">
        <is>
          <t>RAMIREZ SANCHEZ JIMENA</t>
        </is>
      </c>
      <c r="F137" s="49" t="inlineStr">
        <is>
          <t>F</t>
        </is>
      </c>
      <c r="G137" s="49" t="inlineStr">
        <is>
          <t xml:space="preserve">A  </t>
        </is>
      </c>
      <c r="H137" s="49" t="inlineStr">
        <is>
          <t>+</t>
        </is>
      </c>
      <c r="I137" s="49" t="inlineStr">
        <is>
          <t>SOLTERO</t>
        </is>
      </c>
      <c r="J137" s="49" t="inlineStr">
        <is>
          <t xml:space="preserve">MARMATO                       </t>
        </is>
      </c>
      <c r="K137" s="49" t="n">
        <v>0</v>
      </c>
      <c r="L137" s="49" t="inlineStr">
        <is>
          <t>16/02/2003</t>
        </is>
      </c>
      <c r="M137" s="49" t="inlineStr">
        <is>
          <t xml:space="preserve">SUPIA                         </t>
        </is>
      </c>
      <c r="N137" s="49" t="inlineStr">
        <is>
          <t xml:space="preserve">0000                </t>
        </is>
      </c>
      <c r="O137" s="49" t="inlineStr">
        <is>
          <t>3135783617</t>
        </is>
      </c>
      <c r="P137" s="49" t="inlineStr">
        <is>
          <t xml:space="preserve">CR 4  5-22  AP 4 </t>
        </is>
      </c>
      <c r="Q137" s="49" t="inlineStr">
        <is>
          <t>jimena.ramirezsof@gmail.com</t>
        </is>
      </c>
      <c r="R137" s="49" t="inlineStr">
        <is>
          <t>COORDINADOR DE GESTIÓN SOCIAL JUNIOR</t>
        </is>
      </c>
      <c r="S137" s="108" t="n">
        <v>91.66666600000001</v>
      </c>
      <c r="T137" s="108" t="n">
        <v>0</v>
      </c>
      <c r="U137" s="108" t="n">
        <v>220</v>
      </c>
      <c r="V137" s="49" t="inlineStr">
        <is>
          <t>CONSIG. CTA AHORROS</t>
        </is>
      </c>
      <c r="W137" s="49" t="inlineStr">
        <is>
          <t xml:space="preserve">BANCO DAVIVIENDA S.A.         </t>
        </is>
      </c>
      <c r="X137" s="49" t="inlineStr">
        <is>
          <t xml:space="preserve">0550488448191947         </t>
        </is>
      </c>
      <c r="Y137" s="49" t="inlineStr">
        <is>
          <t xml:space="preserve">NO APLICA                     </t>
        </is>
      </c>
      <c r="Z137" s="49" t="inlineStr">
        <is>
          <t>CM0201-ESG</t>
        </is>
      </c>
      <c r="AA137" s="49" t="inlineStr">
        <is>
          <t>CM0201-ESGSOC</t>
        </is>
      </c>
      <c r="AB137" s="49" t="inlineStr">
        <is>
          <t xml:space="preserve">01 </t>
        </is>
      </c>
      <c r="AC137" s="49" t="inlineStr">
        <is>
          <t xml:space="preserve">                </t>
        </is>
      </c>
      <c r="AD137" s="49" t="inlineStr">
        <is>
          <t>LEY 50</t>
        </is>
      </c>
      <c r="AE137" s="49" t="inlineStr">
        <is>
          <t>No</t>
        </is>
      </c>
      <c r="AF137" s="49" t="inlineStr">
        <is>
          <t>Normal</t>
        </is>
      </c>
      <c r="AG137" s="49" t="n"/>
      <c r="AH137" s="49" t="inlineStr">
        <is>
          <t>Si</t>
        </is>
      </c>
      <c r="AI137" s="49" t="inlineStr">
        <is>
          <t xml:space="preserve">Normal              </t>
        </is>
      </c>
      <c r="AJ137" s="49" t="inlineStr">
        <is>
          <t xml:space="preserve">Quincenal                     </t>
        </is>
      </c>
      <c r="AK137" s="49" t="inlineStr">
        <is>
          <t>NO</t>
        </is>
      </c>
      <c r="AL137" s="49" t="inlineStr">
        <is>
          <t>NO</t>
        </is>
      </c>
      <c r="AM137" s="49" t="inlineStr">
        <is>
          <t>25/11/2025</t>
        </is>
      </c>
      <c r="AN137" s="49" t="n"/>
      <c r="AO137" s="49" t="n"/>
      <c r="AP137" s="49" t="inlineStr">
        <is>
          <t xml:space="preserve">NO APLICA                </t>
        </is>
      </c>
      <c r="AQ137" s="49" t="n">
        <v>208</v>
      </c>
      <c r="AR137" s="49" t="inlineStr">
        <is>
          <t>01</t>
        </is>
      </c>
      <c r="AS137" s="49" t="n">
        <v>1</v>
      </c>
      <c r="AT137" s="49" t="inlineStr">
        <is>
          <t>No</t>
        </is>
      </c>
      <c r="AU137" s="49" t="n">
        <v>0</v>
      </c>
      <c r="AV137" s="108" t="n">
        <v>0</v>
      </c>
      <c r="AW137" s="108" t="n">
        <v>0</v>
      </c>
      <c r="AX137" s="108" t="n">
        <v>0</v>
      </c>
      <c r="AY137" s="49" t="inlineStr">
        <is>
          <t>No</t>
        </is>
      </c>
      <c r="AZ137" s="49" t="n">
        <v>0</v>
      </c>
      <c r="BA137" s="49" t="inlineStr">
        <is>
          <t>NUEVA E.P.S</t>
        </is>
      </c>
      <c r="BB137" s="49" t="inlineStr">
        <is>
          <t>PROTECCION A.F.P</t>
        </is>
      </c>
      <c r="BC137" s="49" t="inlineStr">
        <is>
          <t>CCF DE CALDAS</t>
        </is>
      </c>
      <c r="BD137" s="49" t="inlineStr">
        <is>
          <t>RIESGOS PROFESIONALES COLMENA S.A.</t>
        </is>
      </c>
      <c r="BE137" s="49" t="inlineStr">
        <is>
          <t>PROTECCION CESANTIAS</t>
        </is>
      </c>
      <c r="BF137" s="49" t="n">
        <v>6.96</v>
      </c>
      <c r="BG137" s="49" t="n">
        <v>220</v>
      </c>
      <c r="BH137" s="49" t="n">
        <v>15</v>
      </c>
      <c r="BI137" s="49" t="inlineStr">
        <is>
          <t xml:space="preserve">0           </t>
        </is>
      </c>
      <c r="BJ137" s="49" t="inlineStr">
        <is>
          <t xml:space="preserve">NO APLICA                               </t>
        </is>
      </c>
      <c r="BK137" s="49" t="inlineStr">
        <is>
          <t>02</t>
        </is>
      </c>
      <c r="BL137" s="49" t="inlineStr">
        <is>
          <t xml:space="preserve">Caldas                                  </t>
        </is>
      </c>
      <c r="BM137" s="49" t="inlineStr">
        <is>
          <t>02</t>
        </is>
      </c>
      <c r="BN137" s="49" t="inlineStr">
        <is>
          <t xml:space="preserve">Supia                                   </t>
        </is>
      </c>
      <c r="BO137" s="49" t="inlineStr">
        <is>
          <t>0</t>
        </is>
      </c>
      <c r="BP137" s="49" t="inlineStr">
        <is>
          <t>NO APLICA</t>
        </is>
      </c>
      <c r="BQ137" s="49" t="inlineStr">
        <is>
          <t>0</t>
        </is>
      </c>
      <c r="BR137" s="49" t="inlineStr">
        <is>
          <t>NO APLICA</t>
        </is>
      </c>
      <c r="BS137" s="49" t="inlineStr">
        <is>
          <t>0</t>
        </is>
      </c>
      <c r="BT137" s="49" t="inlineStr">
        <is>
          <t>NO APLICA</t>
        </is>
      </c>
      <c r="BU137" s="49" t="inlineStr">
        <is>
          <t>0</t>
        </is>
      </c>
      <c r="BV137" s="49" t="inlineStr">
        <is>
          <t>NO APLICA</t>
        </is>
      </c>
      <c r="BW137" s="49" t="inlineStr">
        <is>
          <t>No</t>
        </is>
      </c>
      <c r="BX137" s="49" t="inlineStr">
        <is>
          <t xml:space="preserve">No Aplica                     </t>
        </is>
      </c>
    </row>
    <row r="138" ht="22.5" customHeight="1">
      <c r="A138" s="49" t="n">
        <v>1002814576</v>
      </c>
      <c r="B138" s="49" t="inlineStr">
        <is>
          <t>065</t>
        </is>
      </c>
      <c r="C138" s="49" t="n">
        <v>1002814576</v>
      </c>
      <c r="D138" s="49" t="inlineStr">
        <is>
          <t>CC</t>
        </is>
      </c>
      <c r="E138" s="49" t="inlineStr">
        <is>
          <t>MORENO LARGO JHAN CARLOS</t>
        </is>
      </c>
      <c r="F138" s="49" t="inlineStr">
        <is>
          <t>M</t>
        </is>
      </c>
      <c r="G138" s="49" t="inlineStr">
        <is>
          <t xml:space="preserve">A  </t>
        </is>
      </c>
      <c r="H138" s="49" t="inlineStr">
        <is>
          <t>+</t>
        </is>
      </c>
      <c r="I138" s="49" t="inlineStr">
        <is>
          <t>SOLTERO</t>
        </is>
      </c>
      <c r="J138" s="49" t="inlineStr">
        <is>
          <t xml:space="preserve">SUPIA                         </t>
        </is>
      </c>
      <c r="K138" s="49" t="n">
        <v>0</v>
      </c>
      <c r="L138" s="49" t="inlineStr">
        <is>
          <t>25/05/2002</t>
        </is>
      </c>
      <c r="M138" s="49" t="inlineStr">
        <is>
          <t xml:space="preserve">SUPIA                         </t>
        </is>
      </c>
      <c r="N138" s="49" t="inlineStr">
        <is>
          <t xml:space="preserve">NA                  </t>
        </is>
      </c>
      <c r="O138" s="49" t="inlineStr">
        <is>
          <t xml:space="preserve"> 32072622034</t>
        </is>
      </c>
      <c r="P138" s="49" t="inlineStr">
        <is>
          <t>Vereda Amolador</t>
        </is>
      </c>
      <c r="Q138" s="49" t="inlineStr">
        <is>
          <t>Jhancarlosmorenolargo5@gmail.com</t>
        </is>
      </c>
      <c r="R138" s="49" t="inlineStr">
        <is>
          <t>AUXILIAR DE PROTECCION</t>
        </is>
      </c>
      <c r="S138" s="108" t="n">
        <v>91.66666600000001</v>
      </c>
      <c r="T138" s="108" t="n">
        <v>0</v>
      </c>
      <c r="U138" s="108" t="n">
        <v>220</v>
      </c>
      <c r="V138" s="49" t="inlineStr">
        <is>
          <t>CONSIG. CTA AHORROS</t>
        </is>
      </c>
      <c r="W138" s="49" t="inlineStr">
        <is>
          <t xml:space="preserve">BANCO DAVIVIENDA S.A.         </t>
        </is>
      </c>
      <c r="X138" s="49" t="inlineStr">
        <is>
          <t xml:space="preserve">488434054778             </t>
        </is>
      </c>
      <c r="Y138" s="49" t="inlineStr">
        <is>
          <t xml:space="preserve">NO APLICA                     </t>
        </is>
      </c>
      <c r="Z138" s="49" t="inlineStr">
        <is>
          <t>CM0400-PRO</t>
        </is>
      </c>
      <c r="AA138" s="49" t="inlineStr">
        <is>
          <t>CM0400-PRO</t>
        </is>
      </c>
      <c r="AB138" s="49" t="inlineStr">
        <is>
          <t xml:space="preserve">01 </t>
        </is>
      </c>
      <c r="AC138" s="49" t="inlineStr">
        <is>
          <t xml:space="preserve">                </t>
        </is>
      </c>
      <c r="AD138" s="49" t="inlineStr">
        <is>
          <t>LEY 50</t>
        </is>
      </c>
      <c r="AE138" s="49" t="inlineStr">
        <is>
          <t>Si</t>
        </is>
      </c>
      <c r="AF138" s="49" t="inlineStr">
        <is>
          <t>Normal</t>
        </is>
      </c>
      <c r="AG138" s="49" t="n"/>
      <c r="AH138" s="49" t="inlineStr">
        <is>
          <t>Si</t>
        </is>
      </c>
      <c r="AI138" s="49" t="inlineStr">
        <is>
          <t xml:space="preserve">Normal              </t>
        </is>
      </c>
      <c r="AJ138" s="49" t="inlineStr">
        <is>
          <t xml:space="preserve">Quincenal                     </t>
        </is>
      </c>
      <c r="AK138" s="49" t="inlineStr">
        <is>
          <t>NO</t>
        </is>
      </c>
      <c r="AL138" s="49" t="inlineStr">
        <is>
          <t>NO</t>
        </is>
      </c>
      <c r="AM138" s="49" t="inlineStr">
        <is>
          <t>02/10/2023</t>
        </is>
      </c>
      <c r="AN138" s="49" t="n"/>
      <c r="AO138" s="49" t="n"/>
      <c r="AP138" s="49" t="inlineStr">
        <is>
          <t xml:space="preserve">NO APLICA                </t>
        </is>
      </c>
      <c r="AQ138" s="49" t="n">
        <v>112</v>
      </c>
      <c r="AR138" s="49" t="inlineStr">
        <is>
          <t>01</t>
        </is>
      </c>
      <c r="AS138" s="49" t="n">
        <v>1</v>
      </c>
      <c r="AT138" s="49" t="inlineStr">
        <is>
          <t>Si</t>
        </is>
      </c>
      <c r="AU138" s="49" t="n">
        <v>0</v>
      </c>
      <c r="AV138" s="108" t="n">
        <v>0</v>
      </c>
      <c r="AW138" s="108" t="n">
        <v>0</v>
      </c>
      <c r="AX138" s="108" t="n">
        <v>0</v>
      </c>
      <c r="AY138" s="49" t="inlineStr">
        <is>
          <t>No</t>
        </is>
      </c>
      <c r="AZ138" s="49" t="n">
        <v>59892</v>
      </c>
      <c r="BA138" s="49" t="inlineStr">
        <is>
          <t>Entidad Promotora de Salud Mallamas EPSI</t>
        </is>
      </c>
      <c r="BB138" s="49" t="inlineStr">
        <is>
          <t>PROTECCION A.F.P</t>
        </is>
      </c>
      <c r="BC138" s="49" t="inlineStr">
        <is>
          <t>CCF DE CALDAS</t>
        </is>
      </c>
      <c r="BD138" s="49" t="inlineStr">
        <is>
          <t>RIESGOS PROFESIONALES COLMENA S.A.</t>
        </is>
      </c>
      <c r="BE138" s="49" t="inlineStr">
        <is>
          <t>PORVENIR CESANTIAS</t>
        </is>
      </c>
      <c r="BF138" s="49" t="n">
        <v>6.96</v>
      </c>
      <c r="BG138" s="49" t="n">
        <v>220</v>
      </c>
      <c r="BH138" s="49" t="n">
        <v>15</v>
      </c>
      <c r="BI138" s="49" t="inlineStr">
        <is>
          <t xml:space="preserve">0           </t>
        </is>
      </c>
      <c r="BJ138" s="49" t="inlineStr">
        <is>
          <t xml:space="preserve">NO APLICA                               </t>
        </is>
      </c>
      <c r="BK138" s="49" t="inlineStr">
        <is>
          <t>02</t>
        </is>
      </c>
      <c r="BL138" s="49" t="inlineStr">
        <is>
          <t xml:space="preserve">Caldas                                  </t>
        </is>
      </c>
      <c r="BM138" s="49" t="inlineStr">
        <is>
          <t>02</t>
        </is>
      </c>
      <c r="BN138" s="49" t="inlineStr">
        <is>
          <t xml:space="preserve">Supia                                   </t>
        </is>
      </c>
      <c r="BO138" s="49" t="inlineStr">
        <is>
          <t>0</t>
        </is>
      </c>
      <c r="BP138" s="49" t="inlineStr">
        <is>
          <t>NO APLICA</t>
        </is>
      </c>
      <c r="BQ138" s="49" t="inlineStr">
        <is>
          <t>0</t>
        </is>
      </c>
      <c r="BR138" s="49" t="inlineStr">
        <is>
          <t>NO APLICA</t>
        </is>
      </c>
      <c r="BS138" s="49" t="inlineStr">
        <is>
          <t>0</t>
        </is>
      </c>
      <c r="BT138" s="49" t="inlineStr">
        <is>
          <t>NO APLICA</t>
        </is>
      </c>
      <c r="BU138" s="49" t="inlineStr">
        <is>
          <t>0</t>
        </is>
      </c>
      <c r="BV138" s="49" t="inlineStr">
        <is>
          <t>NO APLICA</t>
        </is>
      </c>
      <c r="BW138" s="49" t="inlineStr">
        <is>
          <t>No</t>
        </is>
      </c>
      <c r="BX138" s="49" t="inlineStr">
        <is>
          <t xml:space="preserve">No Aplica                     </t>
        </is>
      </c>
    </row>
    <row r="139" ht="22.5" customHeight="1">
      <c r="A139" s="49" t="n">
        <v>1002900089</v>
      </c>
      <c r="B139" s="49" t="inlineStr">
        <is>
          <t xml:space="preserve"> 159</t>
        </is>
      </c>
      <c r="C139" s="49" t="n">
        <v>1002900089</v>
      </c>
      <c r="D139" s="49" t="inlineStr">
        <is>
          <t>CC</t>
        </is>
      </c>
      <c r="E139" s="49" t="inlineStr">
        <is>
          <t>MORENO QUINCHIA SEBASTIAN</t>
        </is>
      </c>
      <c r="F139" s="49" t="inlineStr">
        <is>
          <t>M</t>
        </is>
      </c>
      <c r="G139" s="49" t="inlineStr">
        <is>
          <t xml:space="preserve">A  </t>
        </is>
      </c>
      <c r="H139" s="49" t="inlineStr">
        <is>
          <t>+</t>
        </is>
      </c>
      <c r="I139" s="49" t="inlineStr">
        <is>
          <t>SOLTERO</t>
        </is>
      </c>
      <c r="J139" s="49" t="inlineStr">
        <is>
          <t xml:space="preserve">SUPIA                         </t>
        </is>
      </c>
      <c r="K139" s="49" t="n">
        <v>0</v>
      </c>
      <c r="L139" s="49" t="inlineStr">
        <is>
          <t>18/02/2002</t>
        </is>
      </c>
      <c r="M139" s="49" t="inlineStr">
        <is>
          <t xml:space="preserve">SUPIA                         </t>
        </is>
      </c>
      <c r="N139" s="49" t="inlineStr">
        <is>
          <t xml:space="preserve">0000                </t>
        </is>
      </c>
      <c r="O139" s="49" t="inlineStr">
        <is>
          <t>3227819427</t>
        </is>
      </c>
      <c r="P139" s="49" t="inlineStr">
        <is>
          <t>Cll 20a # 9-48</t>
        </is>
      </c>
      <c r="Q139" s="49" t="inlineStr">
        <is>
          <t>sm441874@gmail.com</t>
        </is>
      </c>
      <c r="R139" s="49" t="inlineStr">
        <is>
          <t>AUXILIAR DE EXPLORACIÓN</t>
        </is>
      </c>
      <c r="S139" s="108" t="n">
        <v>91.66666600000001</v>
      </c>
      <c r="T139" s="108" t="n">
        <v>0</v>
      </c>
      <c r="U139" s="108" t="n">
        <v>220</v>
      </c>
      <c r="V139" s="49" t="inlineStr">
        <is>
          <t>CONSIG. CTA AHORROS</t>
        </is>
      </c>
      <c r="W139" s="49" t="inlineStr">
        <is>
          <t xml:space="preserve">BANCO DAVIVIENDA S.A.         </t>
        </is>
      </c>
      <c r="X139" s="49" t="inlineStr">
        <is>
          <t xml:space="preserve">0550084700083532         </t>
        </is>
      </c>
      <c r="Y139" s="49" t="inlineStr">
        <is>
          <t xml:space="preserve">NO APLICA                     </t>
        </is>
      </c>
      <c r="Z139" s="49" t="inlineStr">
        <is>
          <t>CM0100-EXP</t>
        </is>
      </c>
      <c r="AA139" s="49" t="inlineStr">
        <is>
          <t>CM0100-EXP</t>
        </is>
      </c>
      <c r="AB139" s="49" t="inlineStr">
        <is>
          <t xml:space="preserve">01 </t>
        </is>
      </c>
      <c r="AC139" s="49" t="inlineStr">
        <is>
          <t xml:space="preserve">                </t>
        </is>
      </c>
      <c r="AD139" s="49" t="inlineStr">
        <is>
          <t>LEY 50</t>
        </is>
      </c>
      <c r="AE139" s="49" t="inlineStr">
        <is>
          <t>No</t>
        </is>
      </c>
      <c r="AF139" s="49" t="inlineStr">
        <is>
          <t>Normal</t>
        </is>
      </c>
      <c r="AG139" s="49" t="n"/>
      <c r="AH139" s="49" t="inlineStr">
        <is>
          <t>Si</t>
        </is>
      </c>
      <c r="AI139" s="49" t="inlineStr">
        <is>
          <t xml:space="preserve">Normal              </t>
        </is>
      </c>
      <c r="AJ139" s="49" t="inlineStr">
        <is>
          <t xml:space="preserve">Quincenal                     </t>
        </is>
      </c>
      <c r="AK139" s="49" t="inlineStr">
        <is>
          <t>NO</t>
        </is>
      </c>
      <c r="AL139" s="49" t="inlineStr">
        <is>
          <t>NO</t>
        </is>
      </c>
      <c r="AM139" s="49" t="inlineStr">
        <is>
          <t>05/01/2026</t>
        </is>
      </c>
      <c r="AN139" s="49" t="n"/>
      <c r="AO139" s="49" t="n"/>
      <c r="AP139" s="49" t="inlineStr">
        <is>
          <t xml:space="preserve">NO APLICA                </t>
        </is>
      </c>
      <c r="AQ139" s="49" t="n">
        <v>216</v>
      </c>
      <c r="AR139" s="49" t="inlineStr">
        <is>
          <t>01</t>
        </is>
      </c>
      <c r="AS139" s="49" t="n">
        <v>1</v>
      </c>
      <c r="AT139" s="49" t="inlineStr">
        <is>
          <t>No</t>
        </is>
      </c>
      <c r="AU139" s="49" t="n">
        <v>0</v>
      </c>
      <c r="AV139" s="108" t="n">
        <v>0</v>
      </c>
      <c r="AW139" s="108" t="n">
        <v>0</v>
      </c>
      <c r="AX139" s="108" t="n">
        <v>0</v>
      </c>
      <c r="AY139" s="49" t="inlineStr">
        <is>
          <t>No</t>
        </is>
      </c>
      <c r="AZ139" s="49" t="n">
        <v>0</v>
      </c>
      <c r="BA139" s="49" t="inlineStr">
        <is>
          <t>NUEVA E.P.S</t>
        </is>
      </c>
      <c r="BB139" s="49" t="inlineStr">
        <is>
          <t>PORVENIR A.F.P.</t>
        </is>
      </c>
      <c r="BC139" s="49" t="inlineStr">
        <is>
          <t>CCF DE CALDAS</t>
        </is>
      </c>
      <c r="BD139" s="49" t="inlineStr">
        <is>
          <t>RIESGOS PROFESIONALES COLMENA S.A.</t>
        </is>
      </c>
      <c r="BE139" s="49" t="inlineStr">
        <is>
          <t>PORVENIR CESANTIAS</t>
        </is>
      </c>
      <c r="BF139" s="49" t="n">
        <v>6.96</v>
      </c>
      <c r="BG139" s="49" t="n">
        <v>220</v>
      </c>
      <c r="BH139" s="49" t="n">
        <v>15</v>
      </c>
      <c r="BI139" s="49" t="inlineStr">
        <is>
          <t xml:space="preserve">0           </t>
        </is>
      </c>
      <c r="BJ139" s="49" t="inlineStr">
        <is>
          <t xml:space="preserve">NO APLICA                               </t>
        </is>
      </c>
      <c r="BK139" s="49" t="inlineStr">
        <is>
          <t>02</t>
        </is>
      </c>
      <c r="BL139" s="49" t="inlineStr">
        <is>
          <t xml:space="preserve">Caldas                                  </t>
        </is>
      </c>
      <c r="BM139" s="49" t="inlineStr">
        <is>
          <t>02</t>
        </is>
      </c>
      <c r="BN139" s="49" t="inlineStr">
        <is>
          <t xml:space="preserve">Supia                                   </t>
        </is>
      </c>
      <c r="BO139" s="49" t="inlineStr">
        <is>
          <t>0</t>
        </is>
      </c>
      <c r="BP139" s="49" t="inlineStr">
        <is>
          <t>NO APLICA</t>
        </is>
      </c>
      <c r="BQ139" s="49" t="inlineStr">
        <is>
          <t>0</t>
        </is>
      </c>
      <c r="BR139" s="49" t="inlineStr">
        <is>
          <t>NO APLICA</t>
        </is>
      </c>
      <c r="BS139" s="49" t="inlineStr">
        <is>
          <t>0</t>
        </is>
      </c>
      <c r="BT139" s="49" t="inlineStr">
        <is>
          <t>NO APLICA</t>
        </is>
      </c>
      <c r="BU139" s="49" t="inlineStr">
        <is>
          <t>0</t>
        </is>
      </c>
      <c r="BV139" s="49" t="inlineStr">
        <is>
          <t>NO APLICA</t>
        </is>
      </c>
      <c r="BW139" s="49" t="inlineStr">
        <is>
          <t>No</t>
        </is>
      </c>
      <c r="BX139" s="49" t="inlineStr">
        <is>
          <t xml:space="preserve">No Aplica                     </t>
        </is>
      </c>
    </row>
    <row r="140" ht="22.5" customHeight="1">
      <c r="A140" s="49" t="n">
        <v>1002900275</v>
      </c>
      <c r="B140" s="49" t="inlineStr">
        <is>
          <t>032</t>
        </is>
      </c>
      <c r="C140" s="49" t="n">
        <v>1002900275</v>
      </c>
      <c r="D140" s="49" t="inlineStr">
        <is>
          <t>CC</t>
        </is>
      </c>
      <c r="E140" s="49" t="inlineStr">
        <is>
          <t>VELARDE MARULANDA YULIANA</t>
        </is>
      </c>
      <c r="F140" s="49" t="inlineStr">
        <is>
          <t>F</t>
        </is>
      </c>
      <c r="G140" s="49" t="inlineStr">
        <is>
          <t xml:space="preserve">O  </t>
        </is>
      </c>
      <c r="H140" s="49" t="inlineStr">
        <is>
          <t>+</t>
        </is>
      </c>
      <c r="I140" s="49" t="inlineStr">
        <is>
          <t>SOLTERO</t>
        </is>
      </c>
      <c r="J140" s="49" t="inlineStr">
        <is>
          <t xml:space="preserve">SUPIA                         </t>
        </is>
      </c>
      <c r="K140" s="49" t="n">
        <v>0</v>
      </c>
      <c r="L140" s="49" t="inlineStr">
        <is>
          <t>22/07/2002</t>
        </is>
      </c>
      <c r="M140" s="49" t="inlineStr">
        <is>
          <t xml:space="preserve">SUPIA                         </t>
        </is>
      </c>
      <c r="N140" s="49" t="inlineStr">
        <is>
          <t xml:space="preserve">3013655651          </t>
        </is>
      </c>
      <c r="O140" s="49" t="inlineStr">
        <is>
          <t>3013655651</t>
        </is>
      </c>
      <c r="P140" s="49" t="inlineStr">
        <is>
          <t>CARRERA 11 # 33 - 38</t>
        </is>
      </c>
      <c r="Q140" s="49" t="inlineStr">
        <is>
          <t>yulianavelardemarulanda@gmail.com</t>
        </is>
      </c>
      <c r="R140" s="49" t="inlineStr">
        <is>
          <t>ANALISTA ADMINISTRATIVA LOGISTICA</t>
        </is>
      </c>
      <c r="S140" s="108" t="n">
        <v>91.66666600000001</v>
      </c>
      <c r="T140" s="108" t="n">
        <v>0</v>
      </c>
      <c r="U140" s="108" t="n">
        <v>220</v>
      </c>
      <c r="V140" s="49" t="inlineStr">
        <is>
          <t>CONSIG. CTA AHORROS</t>
        </is>
      </c>
      <c r="W140" s="49" t="inlineStr">
        <is>
          <t xml:space="preserve">BANCO DAVIVIENDA S.A.         </t>
        </is>
      </c>
      <c r="X140" s="49" t="inlineStr">
        <is>
          <t xml:space="preserve">0550488422720273         </t>
        </is>
      </c>
      <c r="Y140" s="49" t="inlineStr">
        <is>
          <t xml:space="preserve">NO APLICA                     </t>
        </is>
      </c>
      <c r="Z140" s="49" t="inlineStr">
        <is>
          <t>CM0500-LOG</t>
        </is>
      </c>
      <c r="AA140" s="49" t="inlineStr">
        <is>
          <t>CM0500-LOG</t>
        </is>
      </c>
      <c r="AB140" s="49" t="inlineStr">
        <is>
          <t xml:space="preserve">01 </t>
        </is>
      </c>
      <c r="AC140" s="49" t="inlineStr">
        <is>
          <t xml:space="preserve">0               </t>
        </is>
      </c>
      <c r="AD140" s="49" t="inlineStr">
        <is>
          <t>LEY 50</t>
        </is>
      </c>
      <c r="AE140" s="49" t="inlineStr">
        <is>
          <t>Si</t>
        </is>
      </c>
      <c r="AF140" s="49" t="inlineStr">
        <is>
          <t>Normal</t>
        </is>
      </c>
      <c r="AG140" s="49" t="n"/>
      <c r="AH140" s="49" t="inlineStr">
        <is>
          <t>Si</t>
        </is>
      </c>
      <c r="AI140" s="49" t="inlineStr">
        <is>
          <t xml:space="preserve">Normal              </t>
        </is>
      </c>
      <c r="AJ140" s="49" t="inlineStr">
        <is>
          <t xml:space="preserve">Quincenal                     </t>
        </is>
      </c>
      <c r="AK140" s="49" t="inlineStr">
        <is>
          <t>NO</t>
        </is>
      </c>
      <c r="AL140" s="49" t="inlineStr">
        <is>
          <t>NO</t>
        </is>
      </c>
      <c r="AM140" s="49" t="inlineStr">
        <is>
          <t>08/08/2022</t>
        </is>
      </c>
      <c r="AN140" s="49" t="n"/>
      <c r="AO140" s="49" t="n"/>
      <c r="AP140" s="49" t="inlineStr">
        <is>
          <t xml:space="preserve">NO APLICA                </t>
        </is>
      </c>
      <c r="AQ140" s="49" t="n">
        <v>2</v>
      </c>
      <c r="AR140" s="49" t="inlineStr">
        <is>
          <t>01</t>
        </is>
      </c>
      <c r="AS140" s="49" t="n">
        <v>1</v>
      </c>
      <c r="AT140" s="49" t="inlineStr">
        <is>
          <t>Si</t>
        </is>
      </c>
      <c r="AU140" s="49" t="n">
        <v>0</v>
      </c>
      <c r="AV140" s="108" t="n">
        <v>0</v>
      </c>
      <c r="AW140" s="108" t="n">
        <v>0</v>
      </c>
      <c r="AX140" s="108" t="n">
        <v>0</v>
      </c>
      <c r="AY140" s="49" t="inlineStr">
        <is>
          <t>No</t>
        </is>
      </c>
      <c r="AZ140" s="49" t="n">
        <v>77395</v>
      </c>
      <c r="BA140" s="49" t="inlineStr">
        <is>
          <t>NUEVA E.P.S</t>
        </is>
      </c>
      <c r="BB140" s="49" t="inlineStr">
        <is>
          <t>PROTECCION A.F.P</t>
        </is>
      </c>
      <c r="BC140" s="49" t="inlineStr">
        <is>
          <t>CCF DE CALDAS</t>
        </is>
      </c>
      <c r="BD140" s="49" t="inlineStr">
        <is>
          <t>RIESGOS PROFESIONALES COLMENA S.A.</t>
        </is>
      </c>
      <c r="BE140" s="49" t="inlineStr">
        <is>
          <t>PROTECCION CESANTIAS</t>
        </is>
      </c>
      <c r="BF140" s="49" t="n">
        <v>0.522</v>
      </c>
      <c r="BG140" s="49" t="n">
        <v>220</v>
      </c>
      <c r="BH140" s="49" t="n">
        <v>15</v>
      </c>
      <c r="BI140" s="49" t="inlineStr">
        <is>
          <t xml:space="preserve">0           </t>
        </is>
      </c>
      <c r="BJ140" s="49" t="inlineStr">
        <is>
          <t xml:space="preserve">NO APLICA                               </t>
        </is>
      </c>
      <c r="BK140" s="49" t="inlineStr">
        <is>
          <t>02</t>
        </is>
      </c>
      <c r="BL140" s="49" t="inlineStr">
        <is>
          <t xml:space="preserve">Caldas                                  </t>
        </is>
      </c>
      <c r="BM140" s="49" t="inlineStr">
        <is>
          <t>02</t>
        </is>
      </c>
      <c r="BN140" s="49" t="inlineStr">
        <is>
          <t xml:space="preserve">Supia                                   </t>
        </is>
      </c>
      <c r="BO140" s="49" t="inlineStr">
        <is>
          <t>0</t>
        </is>
      </c>
      <c r="BP140" s="49" t="inlineStr">
        <is>
          <t>NO APLICA</t>
        </is>
      </c>
      <c r="BQ140" s="49" t="inlineStr">
        <is>
          <t>0</t>
        </is>
      </c>
      <c r="BR140" s="49" t="inlineStr">
        <is>
          <t>NO APLICA</t>
        </is>
      </c>
      <c r="BS140" s="49" t="inlineStr">
        <is>
          <t>0</t>
        </is>
      </c>
      <c r="BT140" s="49" t="inlineStr">
        <is>
          <t>NO APLICA</t>
        </is>
      </c>
      <c r="BU140" s="49" t="inlineStr">
        <is>
          <t>0</t>
        </is>
      </c>
      <c r="BV140" s="49" t="inlineStr">
        <is>
          <t>NO APLICA</t>
        </is>
      </c>
      <c r="BW140" s="49" t="inlineStr">
        <is>
          <t>No</t>
        </is>
      </c>
      <c r="BX140" s="49" t="inlineStr">
        <is>
          <t xml:space="preserve">No Aplica                     </t>
        </is>
      </c>
    </row>
    <row r="141" ht="15" customHeight="1">
      <c r="A141" s="49" t="n">
        <v>1002900482</v>
      </c>
      <c r="B141" s="49" t="inlineStr">
        <is>
          <t>040</t>
        </is>
      </c>
      <c r="C141" s="49" t="n">
        <v>1002900482</v>
      </c>
      <c r="D141" s="49" t="inlineStr">
        <is>
          <t>CC</t>
        </is>
      </c>
      <c r="E141" s="49" t="inlineStr">
        <is>
          <t>HIGINIO CRUZ DANNA GERALDINE</t>
        </is>
      </c>
      <c r="F141" s="49" t="inlineStr">
        <is>
          <t>F</t>
        </is>
      </c>
      <c r="G141" s="49" t="inlineStr">
        <is>
          <t xml:space="preserve">O  </t>
        </is>
      </c>
      <c r="H141" s="49" t="inlineStr">
        <is>
          <t>+</t>
        </is>
      </c>
      <c r="I141" s="49" t="inlineStr">
        <is>
          <t>SOLTERO</t>
        </is>
      </c>
      <c r="J141" s="49" t="inlineStr">
        <is>
          <t xml:space="preserve">SUPIA                         </t>
        </is>
      </c>
      <c r="K141" s="49" t="n">
        <v>0</v>
      </c>
      <c r="L141" s="49" t="inlineStr">
        <is>
          <t>23/12/2002</t>
        </is>
      </c>
      <c r="M141" s="49" t="inlineStr">
        <is>
          <t xml:space="preserve">SUPIA                         </t>
        </is>
      </c>
      <c r="N141" s="49" t="inlineStr">
        <is>
          <t xml:space="preserve">3106123789          </t>
        </is>
      </c>
      <c r="O141" s="49" t="inlineStr">
        <is>
          <t>3106123789</t>
        </is>
      </c>
      <c r="P141" s="49" t="inlineStr">
        <is>
          <t>VEREDA OBISPO</t>
        </is>
      </c>
      <c r="Q141" s="49" t="inlineStr">
        <is>
          <t>geraldinehiginiocruz23@gmail.com</t>
        </is>
      </c>
      <c r="R141" s="49" t="inlineStr">
        <is>
          <t>ANALISTA LOGÍSTICO</t>
        </is>
      </c>
      <c r="S141" s="108" t="n">
        <v>91.66666600000001</v>
      </c>
      <c r="T141" s="108" t="n">
        <v>0</v>
      </c>
      <c r="U141" s="108" t="n">
        <v>220</v>
      </c>
      <c r="V141" s="49" t="inlineStr">
        <is>
          <t>CONSIG. CTA AHORROS</t>
        </is>
      </c>
      <c r="W141" s="49" t="inlineStr">
        <is>
          <t xml:space="preserve">BANCOLOMBIA S.A.              </t>
        </is>
      </c>
      <c r="X141" s="49" t="inlineStr">
        <is>
          <t xml:space="preserve">36800002255              </t>
        </is>
      </c>
      <c r="Y141" s="49" t="inlineStr">
        <is>
          <t xml:space="preserve">NO APLICA                     </t>
        </is>
      </c>
      <c r="Z141" s="49" t="inlineStr">
        <is>
          <t>CM0500-LOG</t>
        </is>
      </c>
      <c r="AA141" s="49" t="inlineStr">
        <is>
          <t>CM0500-LOG</t>
        </is>
      </c>
      <c r="AB141" s="49" t="inlineStr">
        <is>
          <t xml:space="preserve">01 </t>
        </is>
      </c>
      <c r="AC141" s="49" t="inlineStr">
        <is>
          <t xml:space="preserve">0               </t>
        </is>
      </c>
      <c r="AD141" s="49" t="inlineStr">
        <is>
          <t>LEY 50</t>
        </is>
      </c>
      <c r="AE141" s="49" t="inlineStr">
        <is>
          <t>Si</t>
        </is>
      </c>
      <c r="AF141" s="49" t="inlineStr">
        <is>
          <t>Normal</t>
        </is>
      </c>
      <c r="AG141" s="49" t="n"/>
      <c r="AH141" s="49" t="inlineStr">
        <is>
          <t>Si</t>
        </is>
      </c>
      <c r="AI141" s="49" t="inlineStr">
        <is>
          <t xml:space="preserve">Normal              </t>
        </is>
      </c>
      <c r="AJ141" s="49" t="inlineStr">
        <is>
          <t xml:space="preserve">Quincenal                     </t>
        </is>
      </c>
      <c r="AK141" s="49" t="inlineStr">
        <is>
          <t>NO</t>
        </is>
      </c>
      <c r="AL141" s="49" t="inlineStr">
        <is>
          <t>NO</t>
        </is>
      </c>
      <c r="AM141" s="49" t="inlineStr">
        <is>
          <t>19/09/2022</t>
        </is>
      </c>
      <c r="AN141" s="49" t="n"/>
      <c r="AO141" s="49" t="n"/>
      <c r="AP141" s="49" t="inlineStr">
        <is>
          <t xml:space="preserve">NO APLICA                </t>
        </is>
      </c>
      <c r="AQ141" s="49" t="n">
        <v>3</v>
      </c>
      <c r="AR141" s="49" t="inlineStr">
        <is>
          <t>01</t>
        </is>
      </c>
      <c r="AS141" s="49" t="n">
        <v>1</v>
      </c>
      <c r="AT141" s="49" t="inlineStr">
        <is>
          <t>Si</t>
        </is>
      </c>
      <c r="AU141" s="49" t="n">
        <v>0</v>
      </c>
      <c r="AV141" s="108" t="n">
        <v>0</v>
      </c>
      <c r="AW141" s="108" t="n">
        <v>0</v>
      </c>
      <c r="AX141" s="108" t="n">
        <v>0</v>
      </c>
      <c r="AY141" s="49" t="inlineStr">
        <is>
          <t>No</t>
        </is>
      </c>
      <c r="AZ141" s="49" t="n">
        <v>103103</v>
      </c>
      <c r="BA141" s="49" t="inlineStr">
        <is>
          <t>SALUD TOTAL E.P.S.</t>
        </is>
      </c>
      <c r="BB141" s="49" t="inlineStr">
        <is>
          <t>PORVENIR A.F.P.</t>
        </is>
      </c>
      <c r="BC141" s="49" t="inlineStr">
        <is>
          <t>CCF DE CALDAS</t>
        </is>
      </c>
      <c r="BD141" s="49" t="inlineStr">
        <is>
          <t>RIESGOS PROFESIONALES COLMENA S.A.</t>
        </is>
      </c>
      <c r="BE141" s="49" t="inlineStr">
        <is>
          <t>PORVENIR CESANTIAS</t>
        </is>
      </c>
      <c r="BF141" s="49" t="n">
        <v>0.522</v>
      </c>
      <c r="BG141" s="49" t="n">
        <v>220</v>
      </c>
      <c r="BH141" s="49" t="n">
        <v>15</v>
      </c>
      <c r="BI141" s="49" t="inlineStr">
        <is>
          <t xml:space="preserve">0           </t>
        </is>
      </c>
      <c r="BJ141" s="49" t="inlineStr">
        <is>
          <t xml:space="preserve">NO APLICA                               </t>
        </is>
      </c>
      <c r="BK141" s="49" t="inlineStr">
        <is>
          <t>02</t>
        </is>
      </c>
      <c r="BL141" s="49" t="inlineStr">
        <is>
          <t xml:space="preserve">Caldas                                  </t>
        </is>
      </c>
      <c r="BM141" s="49" t="inlineStr">
        <is>
          <t>02</t>
        </is>
      </c>
      <c r="BN141" s="49" t="inlineStr">
        <is>
          <t xml:space="preserve">Supia                                   </t>
        </is>
      </c>
      <c r="BO141" s="49" t="inlineStr">
        <is>
          <t>0</t>
        </is>
      </c>
      <c r="BP141" s="49" t="inlineStr">
        <is>
          <t>NO APLICA</t>
        </is>
      </c>
      <c r="BQ141" s="49" t="inlineStr">
        <is>
          <t>0</t>
        </is>
      </c>
      <c r="BR141" s="49" t="inlineStr">
        <is>
          <t>NO APLICA</t>
        </is>
      </c>
      <c r="BS141" s="49" t="inlineStr">
        <is>
          <t>0</t>
        </is>
      </c>
      <c r="BT141" s="49" t="inlineStr">
        <is>
          <t>NO APLICA</t>
        </is>
      </c>
      <c r="BU141" s="49" t="inlineStr">
        <is>
          <t>0</t>
        </is>
      </c>
      <c r="BV141" s="49" t="inlineStr">
        <is>
          <t>NO APLICA</t>
        </is>
      </c>
      <c r="BW141" s="49" t="inlineStr">
        <is>
          <t>No</t>
        </is>
      </c>
      <c r="BX141" s="49" t="inlineStr">
        <is>
          <t xml:space="preserve">No Aplica                     </t>
        </is>
      </c>
    </row>
    <row r="142" ht="22.5" customHeight="1">
      <c r="A142" s="49" t="n">
        <v>1002900779</v>
      </c>
      <c r="B142" s="49" t="inlineStr">
        <is>
          <t>075</t>
        </is>
      </c>
      <c r="C142" s="49" t="n">
        <v>1002900779</v>
      </c>
      <c r="D142" s="49" t="inlineStr">
        <is>
          <t>CC</t>
        </is>
      </c>
      <c r="E142" s="49" t="inlineStr">
        <is>
          <t>RODRIGUEZ FLOREZ JUAN FELIPE</t>
        </is>
      </c>
      <c r="F142" s="49" t="inlineStr">
        <is>
          <t>M</t>
        </is>
      </c>
      <c r="G142" s="49" t="inlineStr">
        <is>
          <t xml:space="preserve">A  </t>
        </is>
      </c>
      <c r="H142" s="49" t="inlineStr">
        <is>
          <t>+</t>
        </is>
      </c>
      <c r="I142" s="49" t="inlineStr">
        <is>
          <t>SOLTERO</t>
        </is>
      </c>
      <c r="J142" s="49" t="inlineStr">
        <is>
          <t xml:space="preserve">SUPIA                         </t>
        </is>
      </c>
      <c r="K142" s="49" t="n">
        <v>0</v>
      </c>
      <c r="L142" s="49" t="inlineStr">
        <is>
          <t>27/10/2003</t>
        </is>
      </c>
      <c r="M142" s="49" t="inlineStr">
        <is>
          <t xml:space="preserve">SUPIA                         </t>
        </is>
      </c>
      <c r="N142" s="49" t="inlineStr">
        <is>
          <t xml:space="preserve">0                   </t>
        </is>
      </c>
      <c r="O142" s="49" t="inlineStr">
        <is>
          <t>3246825186</t>
        </is>
      </c>
      <c r="P142" s="49" t="inlineStr">
        <is>
          <t>VDA ARCON</t>
        </is>
      </c>
      <c r="Q142" s="49" t="inlineStr">
        <is>
          <t>Juanfeliper554@gmail.com</t>
        </is>
      </c>
      <c r="R142" s="49" t="inlineStr">
        <is>
          <t>AUXILIAR DE GESTION SOCIAL</t>
        </is>
      </c>
      <c r="S142" s="108" t="n">
        <v>91.66666600000001</v>
      </c>
      <c r="T142" s="108" t="n">
        <v>0</v>
      </c>
      <c r="U142" s="108" t="n">
        <v>220</v>
      </c>
      <c r="V142" s="49" t="inlineStr">
        <is>
          <t>CONSIG. CTA AHORROS</t>
        </is>
      </c>
      <c r="W142" s="49" t="inlineStr">
        <is>
          <t xml:space="preserve">BANCO DAVIVIENDA S.A.         </t>
        </is>
      </c>
      <c r="X142" s="49" t="inlineStr">
        <is>
          <t xml:space="preserve">0550488438319862         </t>
        </is>
      </c>
      <c r="Y142" s="49" t="inlineStr">
        <is>
          <t xml:space="preserve">NO APLICA                     </t>
        </is>
      </c>
      <c r="Z142" s="49" t="inlineStr">
        <is>
          <t>CM0201-ESG</t>
        </is>
      </c>
      <c r="AA142" s="49" t="inlineStr">
        <is>
          <t>CM0201-ESGSOC</t>
        </is>
      </c>
      <c r="AB142" s="49" t="inlineStr">
        <is>
          <t xml:space="preserve">01 </t>
        </is>
      </c>
      <c r="AC142" s="49" t="inlineStr">
        <is>
          <t xml:space="preserve">                </t>
        </is>
      </c>
      <c r="AD142" s="49" t="inlineStr">
        <is>
          <t>LEY 50</t>
        </is>
      </c>
      <c r="AE142" s="49" t="inlineStr">
        <is>
          <t>No</t>
        </is>
      </c>
      <c r="AF142" s="49" t="inlineStr">
        <is>
          <t>Normal</t>
        </is>
      </c>
      <c r="AG142" s="49" t="n"/>
      <c r="AH142" s="49" t="inlineStr">
        <is>
          <t>Si</t>
        </is>
      </c>
      <c r="AI142" s="49" t="inlineStr">
        <is>
          <t xml:space="preserve">Normal              </t>
        </is>
      </c>
      <c r="AJ142" s="49" t="inlineStr">
        <is>
          <t xml:space="preserve">Quincenal                     </t>
        </is>
      </c>
      <c r="AK142" s="49" t="inlineStr">
        <is>
          <t>NO</t>
        </is>
      </c>
      <c r="AL142" s="49" t="inlineStr">
        <is>
          <t>NO</t>
        </is>
      </c>
      <c r="AM142" s="49" t="inlineStr">
        <is>
          <t>02/05/2024</t>
        </is>
      </c>
      <c r="AN142" s="49" t="n"/>
      <c r="AO142" s="49" t="n"/>
      <c r="AP142" s="49" t="inlineStr">
        <is>
          <t xml:space="preserve">NO APLICA                </t>
        </is>
      </c>
      <c r="AQ142" s="49" t="n">
        <v>127</v>
      </c>
      <c r="AR142" s="49" t="inlineStr">
        <is>
          <t>01</t>
        </is>
      </c>
      <c r="AS142" s="49" t="n">
        <v>1</v>
      </c>
      <c r="AT142" s="49" t="inlineStr">
        <is>
          <t>No</t>
        </is>
      </c>
      <c r="AU142" s="49" t="n">
        <v>0</v>
      </c>
      <c r="AV142" s="108" t="n">
        <v>0</v>
      </c>
      <c r="AW142" s="108" t="n">
        <v>0</v>
      </c>
      <c r="AX142" s="108" t="n">
        <v>0</v>
      </c>
      <c r="AY142" s="49" t="inlineStr">
        <is>
          <t>No</t>
        </is>
      </c>
      <c r="AZ142" s="49" t="n">
        <v>62651</v>
      </c>
      <c r="BA142" s="49" t="inlineStr">
        <is>
          <t>NUEVA E.P.S</t>
        </is>
      </c>
      <c r="BB142" s="49" t="inlineStr">
        <is>
          <t>PORVENIR A.F.P.</t>
        </is>
      </c>
      <c r="BC142" s="49" t="inlineStr">
        <is>
          <t>CCF DE CALDAS</t>
        </is>
      </c>
      <c r="BD142" s="49" t="inlineStr">
        <is>
          <t>RIESGOS PROFESIONALES COLMENA S.A.</t>
        </is>
      </c>
      <c r="BE142" s="49" t="inlineStr">
        <is>
          <t>PORVENIR CESANTIAS</t>
        </is>
      </c>
      <c r="BF142" s="49" t="n">
        <v>6.96</v>
      </c>
      <c r="BG142" s="49" t="n">
        <v>220</v>
      </c>
      <c r="BH142" s="49" t="n">
        <v>15</v>
      </c>
      <c r="BI142" s="49" t="inlineStr">
        <is>
          <t xml:space="preserve">0           </t>
        </is>
      </c>
      <c r="BJ142" s="49" t="inlineStr">
        <is>
          <t xml:space="preserve">NO APLICA                               </t>
        </is>
      </c>
      <c r="BK142" s="49" t="inlineStr">
        <is>
          <t>02</t>
        </is>
      </c>
      <c r="BL142" s="49" t="inlineStr">
        <is>
          <t xml:space="preserve">Caldas                                  </t>
        </is>
      </c>
      <c r="BM142" s="49" t="inlineStr">
        <is>
          <t>02</t>
        </is>
      </c>
      <c r="BN142" s="49" t="inlineStr">
        <is>
          <t xml:space="preserve">Supia                                   </t>
        </is>
      </c>
      <c r="BO142" s="49" t="inlineStr">
        <is>
          <t>0</t>
        </is>
      </c>
      <c r="BP142" s="49" t="inlineStr">
        <is>
          <t>NO APLICA</t>
        </is>
      </c>
      <c r="BQ142" s="49" t="inlineStr">
        <is>
          <t>0</t>
        </is>
      </c>
      <c r="BR142" s="49" t="inlineStr">
        <is>
          <t>NO APLICA</t>
        </is>
      </c>
      <c r="BS142" s="49" t="inlineStr">
        <is>
          <t>0</t>
        </is>
      </c>
      <c r="BT142" s="49" t="inlineStr">
        <is>
          <t>NO APLICA</t>
        </is>
      </c>
      <c r="BU142" s="49" t="inlineStr">
        <is>
          <t>0</t>
        </is>
      </c>
      <c r="BV142" s="49" t="inlineStr">
        <is>
          <t>NO APLICA</t>
        </is>
      </c>
      <c r="BW142" s="49" t="inlineStr">
        <is>
          <t>No</t>
        </is>
      </c>
      <c r="BX142" s="49" t="inlineStr">
        <is>
          <t xml:space="preserve">No Aplica                     </t>
        </is>
      </c>
    </row>
    <row r="143" ht="22.5" customHeight="1">
      <c r="A143" s="49" t="n">
        <v>1002901033</v>
      </c>
      <c r="B143" s="49" t="inlineStr">
        <is>
          <t>063</t>
        </is>
      </c>
      <c r="C143" s="49" t="n">
        <v>1002901033</v>
      </c>
      <c r="D143" s="49" t="inlineStr">
        <is>
          <t>CC</t>
        </is>
      </c>
      <c r="E143" s="49" t="inlineStr">
        <is>
          <t>VALENCIA RAMIREZ NIXON HERNEY</t>
        </is>
      </c>
      <c r="F143" s="49" t="inlineStr">
        <is>
          <t>M</t>
        </is>
      </c>
      <c r="G143" s="49" t="inlineStr">
        <is>
          <t xml:space="preserve">A  </t>
        </is>
      </c>
      <c r="H143" s="49" t="inlineStr">
        <is>
          <t>+</t>
        </is>
      </c>
      <c r="I143" s="49" t="inlineStr">
        <is>
          <t>SOLTERO</t>
        </is>
      </c>
      <c r="J143" s="49" t="inlineStr">
        <is>
          <t xml:space="preserve">SUPIA                         </t>
        </is>
      </c>
      <c r="K143" s="49" t="n">
        <v>0</v>
      </c>
      <c r="L143" s="49" t="inlineStr">
        <is>
          <t>25/11/1998</t>
        </is>
      </c>
      <c r="M143" s="49" t="inlineStr">
        <is>
          <t xml:space="preserve">SUPIA                         </t>
        </is>
      </c>
      <c r="N143" s="49" t="inlineStr">
        <is>
          <t xml:space="preserve">NA                  </t>
        </is>
      </c>
      <c r="O143" s="49" t="inlineStr">
        <is>
          <t>3205684781</t>
        </is>
      </c>
      <c r="P143" s="49" t="inlineStr">
        <is>
          <t xml:space="preserve">VEREDA LAS VEGAS </t>
        </is>
      </c>
      <c r="Q143" s="49" t="inlineStr">
        <is>
          <t>valenciaramireznixonherney@gmail.com</t>
        </is>
      </c>
      <c r="R143" s="49" t="inlineStr">
        <is>
          <t>AUXILIAR DE PROTECCION</t>
        </is>
      </c>
      <c r="S143" s="108" t="n">
        <v>91.66666600000001</v>
      </c>
      <c r="T143" s="108" t="n">
        <v>0</v>
      </c>
      <c r="U143" s="108" t="n">
        <v>220</v>
      </c>
      <c r="V143" s="49" t="inlineStr">
        <is>
          <t>CONSIG. CTA AHORROS</t>
        </is>
      </c>
      <c r="W143" s="49" t="inlineStr">
        <is>
          <t xml:space="preserve">BANCO DAVIVIENDA S.A.         </t>
        </is>
      </c>
      <c r="X143" s="49" t="inlineStr">
        <is>
          <t xml:space="preserve">550488425894471          </t>
        </is>
      </c>
      <c r="Y143" s="49" t="inlineStr">
        <is>
          <t xml:space="preserve">NO APLICA                     </t>
        </is>
      </c>
      <c r="Z143" s="49" t="inlineStr">
        <is>
          <t>CM0400-PRO</t>
        </is>
      </c>
      <c r="AA143" s="49" t="inlineStr">
        <is>
          <t>CM0400-PRO</t>
        </is>
      </c>
      <c r="AB143" s="49" t="inlineStr">
        <is>
          <t xml:space="preserve">01 </t>
        </is>
      </c>
      <c r="AC143" s="49" t="inlineStr">
        <is>
          <t xml:space="preserve">                </t>
        </is>
      </c>
      <c r="AD143" s="49" t="inlineStr">
        <is>
          <t>LEY 50</t>
        </is>
      </c>
      <c r="AE143" s="49" t="inlineStr">
        <is>
          <t>No</t>
        </is>
      </c>
      <c r="AF143" s="49" t="inlineStr">
        <is>
          <t>Normal</t>
        </is>
      </c>
      <c r="AG143" s="49" t="n"/>
      <c r="AH143" s="49" t="inlineStr">
        <is>
          <t>Si</t>
        </is>
      </c>
      <c r="AI143" s="49" t="inlineStr">
        <is>
          <t xml:space="preserve">Normal              </t>
        </is>
      </c>
      <c r="AJ143" s="49" t="inlineStr">
        <is>
          <t xml:space="preserve">Quincenal                     </t>
        </is>
      </c>
      <c r="AK143" s="49" t="inlineStr">
        <is>
          <t>NO</t>
        </is>
      </c>
      <c r="AL143" s="49" t="inlineStr">
        <is>
          <t>NO</t>
        </is>
      </c>
      <c r="AM143" s="49" t="inlineStr">
        <is>
          <t>01/09/2023</t>
        </is>
      </c>
      <c r="AN143" s="49" t="n"/>
      <c r="AO143" s="49" t="n"/>
      <c r="AP143" s="49" t="inlineStr">
        <is>
          <t xml:space="preserve">NO APLICA                </t>
        </is>
      </c>
      <c r="AQ143" s="49" t="n">
        <v>111</v>
      </c>
      <c r="AR143" s="49" t="inlineStr">
        <is>
          <t>01</t>
        </is>
      </c>
      <c r="AS143" s="49" t="n">
        <v>1</v>
      </c>
      <c r="AT143" s="49" t="inlineStr">
        <is>
          <t>No</t>
        </is>
      </c>
      <c r="AU143" s="49" t="n">
        <v>0</v>
      </c>
      <c r="AV143" s="108" t="n">
        <v>0</v>
      </c>
      <c r="AW143" s="108" t="n">
        <v>0</v>
      </c>
      <c r="AX143" s="108" t="n">
        <v>0</v>
      </c>
      <c r="AY143" s="49" t="inlineStr">
        <is>
          <t>No</t>
        </is>
      </c>
      <c r="AZ143" s="49" t="n">
        <v>61205</v>
      </c>
      <c r="BA143" s="49" t="inlineStr">
        <is>
          <t>NUEVA E.P.S</t>
        </is>
      </c>
      <c r="BB143" s="49" t="inlineStr">
        <is>
          <t>PROTECCION A.F.P</t>
        </is>
      </c>
      <c r="BC143" s="49" t="inlineStr">
        <is>
          <t>CCF DE CALDAS</t>
        </is>
      </c>
      <c r="BD143" s="49" t="inlineStr">
        <is>
          <t>RIESGOS PROFESIONALES COLMENA S.A.</t>
        </is>
      </c>
      <c r="BE143" s="49" t="inlineStr">
        <is>
          <t>PORVENIR CESANTIAS</t>
        </is>
      </c>
      <c r="BF143" s="49" t="n">
        <v>6.96</v>
      </c>
      <c r="BG143" s="49" t="n">
        <v>220</v>
      </c>
      <c r="BH143" s="49" t="n">
        <v>15</v>
      </c>
      <c r="BI143" s="49" t="inlineStr">
        <is>
          <t xml:space="preserve">0           </t>
        </is>
      </c>
      <c r="BJ143" s="49" t="inlineStr">
        <is>
          <t xml:space="preserve">NO APLICA                               </t>
        </is>
      </c>
      <c r="BK143" s="49" t="inlineStr">
        <is>
          <t>02</t>
        </is>
      </c>
      <c r="BL143" s="49" t="inlineStr">
        <is>
          <t xml:space="preserve">Caldas                                  </t>
        </is>
      </c>
      <c r="BM143" s="49" t="inlineStr">
        <is>
          <t>02</t>
        </is>
      </c>
      <c r="BN143" s="49" t="inlineStr">
        <is>
          <t xml:space="preserve">Supia                                   </t>
        </is>
      </c>
      <c r="BO143" s="49" t="inlineStr">
        <is>
          <t>0</t>
        </is>
      </c>
      <c r="BP143" s="49" t="inlineStr">
        <is>
          <t>NO APLICA</t>
        </is>
      </c>
      <c r="BQ143" s="49" t="inlineStr">
        <is>
          <t>0</t>
        </is>
      </c>
      <c r="BR143" s="49" t="inlineStr">
        <is>
          <t>NO APLICA</t>
        </is>
      </c>
      <c r="BS143" s="49" t="inlineStr">
        <is>
          <t>0</t>
        </is>
      </c>
      <c r="BT143" s="49" t="inlineStr">
        <is>
          <t>NO APLICA</t>
        </is>
      </c>
      <c r="BU143" s="49" t="inlineStr">
        <is>
          <t>0</t>
        </is>
      </c>
      <c r="BV143" s="49" t="inlineStr">
        <is>
          <t>NO APLICA</t>
        </is>
      </c>
      <c r="BW143" s="49" t="inlineStr">
        <is>
          <t>No</t>
        </is>
      </c>
      <c r="BX143" s="49" t="inlineStr">
        <is>
          <t xml:space="preserve">No Aplica                     </t>
        </is>
      </c>
    </row>
    <row r="144" ht="15" customHeight="1">
      <c r="A144" s="49" t="n">
        <v>1002901077</v>
      </c>
      <c r="B144" s="49" t="inlineStr">
        <is>
          <t xml:space="preserve"> 113</t>
        </is>
      </c>
      <c r="C144" s="49" t="n">
        <v>1002901077</v>
      </c>
      <c r="D144" s="49" t="inlineStr">
        <is>
          <t>CC</t>
        </is>
      </c>
      <c r="E144" s="49" t="inlineStr">
        <is>
          <t>FLOREZ AGUDELO MARIA DANIELA</t>
        </is>
      </c>
      <c r="F144" s="49" t="inlineStr">
        <is>
          <t>F</t>
        </is>
      </c>
      <c r="G144" s="49" t="inlineStr">
        <is>
          <t xml:space="preserve">A  </t>
        </is>
      </c>
      <c r="H144" s="49" t="inlineStr">
        <is>
          <t>+</t>
        </is>
      </c>
      <c r="I144" s="49" t="inlineStr">
        <is>
          <t>SOLTERO</t>
        </is>
      </c>
      <c r="J144" s="49" t="inlineStr">
        <is>
          <t xml:space="preserve">SUPIA                         </t>
        </is>
      </c>
      <c r="K144" s="49" t="n">
        <v>0</v>
      </c>
      <c r="L144" s="49" t="inlineStr">
        <is>
          <t>15/08/1999</t>
        </is>
      </c>
      <c r="M144" s="49" t="inlineStr">
        <is>
          <t xml:space="preserve">SUPIA                         </t>
        </is>
      </c>
      <c r="N144" s="49" t="inlineStr">
        <is>
          <t xml:space="preserve">0                   </t>
        </is>
      </c>
      <c r="O144" s="49" t="inlineStr">
        <is>
          <t xml:space="preserve"> 3128415134</t>
        </is>
      </c>
      <c r="P144" s="49" t="inlineStr">
        <is>
          <t>VDA Alto San Francisco</t>
        </is>
      </c>
      <c r="Q144" s="49" t="inlineStr">
        <is>
          <t>daniflorez1011@gmail.com</t>
        </is>
      </c>
      <c r="R144" s="49" t="inlineStr">
        <is>
          <t>AUXILIAR DE EXPLORACIÓN</t>
        </is>
      </c>
      <c r="S144" s="108" t="n">
        <v>91.66666600000001</v>
      </c>
      <c r="T144" s="108" t="n">
        <v>0</v>
      </c>
      <c r="U144" s="108" t="n">
        <v>220</v>
      </c>
      <c r="V144" s="49" t="inlineStr">
        <is>
          <t>CONSIG. CTA AHORROS</t>
        </is>
      </c>
      <c r="W144" s="49" t="inlineStr">
        <is>
          <t xml:space="preserve">BANCOLOMBIA S.A.              </t>
        </is>
      </c>
      <c r="X144" s="49" t="inlineStr">
        <is>
          <t xml:space="preserve">36854371198              </t>
        </is>
      </c>
      <c r="Y144" s="49" t="inlineStr">
        <is>
          <t xml:space="preserve">NO APLICA                     </t>
        </is>
      </c>
      <c r="Z144" s="49" t="inlineStr">
        <is>
          <t>CM0100-EXP</t>
        </is>
      </c>
      <c r="AA144" s="49" t="inlineStr">
        <is>
          <t>CM0100-EXP</t>
        </is>
      </c>
      <c r="AB144" s="49" t="inlineStr">
        <is>
          <t xml:space="preserve">01 </t>
        </is>
      </c>
      <c r="AC144" s="49" t="inlineStr">
        <is>
          <t xml:space="preserve">                </t>
        </is>
      </c>
      <c r="AD144" s="49" t="inlineStr">
        <is>
          <t>LEY 50</t>
        </is>
      </c>
      <c r="AE144" s="49" t="inlineStr">
        <is>
          <t>No</t>
        </is>
      </c>
      <c r="AF144" s="49" t="inlineStr">
        <is>
          <t>Normal</t>
        </is>
      </c>
      <c r="AG144" s="49" t="n"/>
      <c r="AH144" s="49" t="inlineStr">
        <is>
          <t>Si</t>
        </is>
      </c>
      <c r="AI144" s="49" t="inlineStr">
        <is>
          <t xml:space="preserve">Normal              </t>
        </is>
      </c>
      <c r="AJ144" s="49" t="inlineStr">
        <is>
          <t xml:space="preserve">Quincenal                     </t>
        </is>
      </c>
      <c r="AK144" s="49" t="inlineStr">
        <is>
          <t>NO</t>
        </is>
      </c>
      <c r="AL144" s="49" t="inlineStr">
        <is>
          <t>NO</t>
        </is>
      </c>
      <c r="AM144" s="49" t="inlineStr">
        <is>
          <t>07/04/2025</t>
        </is>
      </c>
      <c r="AN144" s="49" t="n"/>
      <c r="AO144" s="49" t="n"/>
      <c r="AP144" s="49" t="inlineStr">
        <is>
          <t xml:space="preserve">NO APLICA                </t>
        </is>
      </c>
      <c r="AQ144" s="49" t="n">
        <v>172</v>
      </c>
      <c r="AR144" s="49" t="inlineStr">
        <is>
          <t>01</t>
        </is>
      </c>
      <c r="AS144" s="49" t="n">
        <v>1</v>
      </c>
      <c r="AT144" s="49" t="inlineStr">
        <is>
          <t>No</t>
        </is>
      </c>
      <c r="AU144" s="49" t="n">
        <v>0</v>
      </c>
      <c r="AV144" s="108" t="n">
        <v>0</v>
      </c>
      <c r="AW144" s="108" t="n">
        <v>0</v>
      </c>
      <c r="AX144" s="108" t="n">
        <v>0</v>
      </c>
      <c r="AY144" s="49" t="inlineStr">
        <is>
          <t>No</t>
        </is>
      </c>
      <c r="AZ144" s="49" t="n">
        <v>0</v>
      </c>
      <c r="BA144" s="49" t="inlineStr">
        <is>
          <t>Entidad Promotora de Salud Mallamas EPSI</t>
        </is>
      </c>
      <c r="BB144" s="49" t="inlineStr">
        <is>
          <t>PROTECCION A.F.P</t>
        </is>
      </c>
      <c r="BC144" s="49" t="inlineStr">
        <is>
          <t>CCF DE CALDAS</t>
        </is>
      </c>
      <c r="BD144" s="49" t="inlineStr">
        <is>
          <t>RIESGOS PROFESIONALES COLMENA S.A.</t>
        </is>
      </c>
      <c r="BE144" s="49" t="inlineStr">
        <is>
          <t>PROTECCION CESANTIAS</t>
        </is>
      </c>
      <c r="BF144" s="49" t="n">
        <v>6.96</v>
      </c>
      <c r="BG144" s="49" t="n">
        <v>220</v>
      </c>
      <c r="BH144" s="49" t="n">
        <v>15</v>
      </c>
      <c r="BI144" s="49" t="inlineStr">
        <is>
          <t xml:space="preserve">0           </t>
        </is>
      </c>
      <c r="BJ144" s="49" t="inlineStr">
        <is>
          <t xml:space="preserve">NO APLICA                               </t>
        </is>
      </c>
      <c r="BK144" s="49" t="inlineStr">
        <is>
          <t>02</t>
        </is>
      </c>
      <c r="BL144" s="49" t="inlineStr">
        <is>
          <t xml:space="preserve">Caldas                                  </t>
        </is>
      </c>
      <c r="BM144" s="49" t="inlineStr">
        <is>
          <t>02</t>
        </is>
      </c>
      <c r="BN144" s="49" t="inlineStr">
        <is>
          <t xml:space="preserve">Supia                                   </t>
        </is>
      </c>
      <c r="BO144" s="49" t="inlineStr">
        <is>
          <t>0</t>
        </is>
      </c>
      <c r="BP144" s="49" t="inlineStr">
        <is>
          <t>NO APLICA</t>
        </is>
      </c>
      <c r="BQ144" s="49" t="inlineStr">
        <is>
          <t>0</t>
        </is>
      </c>
      <c r="BR144" s="49" t="inlineStr">
        <is>
          <t>NO APLICA</t>
        </is>
      </c>
      <c r="BS144" s="49" t="inlineStr">
        <is>
          <t>0</t>
        </is>
      </c>
      <c r="BT144" s="49" t="inlineStr">
        <is>
          <t>NO APLICA</t>
        </is>
      </c>
      <c r="BU144" s="49" t="inlineStr">
        <is>
          <t>0</t>
        </is>
      </c>
      <c r="BV144" s="49" t="inlineStr">
        <is>
          <t>NO APLICA</t>
        </is>
      </c>
      <c r="BW144" s="49" t="inlineStr">
        <is>
          <t>No</t>
        </is>
      </c>
      <c r="BX144" s="49" t="inlineStr">
        <is>
          <t xml:space="preserve">No Aplica                     </t>
        </is>
      </c>
    </row>
    <row r="145" ht="15" customHeight="1">
      <c r="A145" s="49" t="n">
        <v>1002969887</v>
      </c>
      <c r="B145" s="49" t="inlineStr">
        <is>
          <t xml:space="preserve"> 119</t>
        </is>
      </c>
      <c r="C145" s="49" t="n">
        <v>1002969887</v>
      </c>
      <c r="D145" s="49" t="inlineStr">
        <is>
          <t>CC</t>
        </is>
      </c>
      <c r="E145" s="49" t="inlineStr">
        <is>
          <t>GOMEZ GRISALES JUAN SEBASTIAN</t>
        </is>
      </c>
      <c r="F145" s="49" t="inlineStr">
        <is>
          <t>M</t>
        </is>
      </c>
      <c r="G145" s="49" t="inlineStr">
        <is>
          <t xml:space="preserve">A  </t>
        </is>
      </c>
      <c r="H145" s="49" t="inlineStr">
        <is>
          <t>+</t>
        </is>
      </c>
      <c r="I145" s="49" t="inlineStr">
        <is>
          <t>DESCONOCIDO</t>
        </is>
      </c>
      <c r="J145" s="49" t="inlineStr">
        <is>
          <t xml:space="preserve">MEDELLÍN                      </t>
        </is>
      </c>
      <c r="K145" s="49" t="n">
        <v>0</v>
      </c>
      <c r="L145" s="49" t="inlineStr">
        <is>
          <t>04/01/2000</t>
        </is>
      </c>
      <c r="M145" s="49" t="inlineStr">
        <is>
          <t xml:space="preserve">SUPIA                         </t>
        </is>
      </c>
      <c r="N145" s="49" t="inlineStr">
        <is>
          <t xml:space="preserve">0000                </t>
        </is>
      </c>
      <c r="O145" s="49" t="inlineStr">
        <is>
          <t>3004144187</t>
        </is>
      </c>
      <c r="P145" s="49" t="inlineStr">
        <is>
          <t>CL 20 s 25B 109</t>
        </is>
      </c>
      <c r="Q145" s="49" t="inlineStr">
        <is>
          <t>juangomez0218@hotmail.com</t>
        </is>
      </c>
      <c r="R145" s="49" t="inlineStr">
        <is>
          <t>COORDINADOR LEGAL JUNIOR</t>
        </is>
      </c>
      <c r="S145" s="108" t="n">
        <v>91.66666600000001</v>
      </c>
      <c r="T145" s="108" t="n">
        <v>0</v>
      </c>
      <c r="U145" s="108" t="n">
        <v>220</v>
      </c>
      <c r="V145" s="49" t="inlineStr">
        <is>
          <t>CONSIG. CTA AHORROS</t>
        </is>
      </c>
      <c r="W145" s="49" t="inlineStr">
        <is>
          <t xml:space="preserve">BANCOLOMBIA S.A.              </t>
        </is>
      </c>
      <c r="X145" s="49" t="inlineStr">
        <is>
          <t xml:space="preserve">26180067913              </t>
        </is>
      </c>
      <c r="Y145" s="49" t="inlineStr">
        <is>
          <t xml:space="preserve">NO APLICA                     </t>
        </is>
      </c>
      <c r="Z145" s="49" t="inlineStr">
        <is>
          <t>CM0603-LEG</t>
        </is>
      </c>
      <c r="AA145" s="49" t="inlineStr">
        <is>
          <t>CM0603-LEG</t>
        </is>
      </c>
      <c r="AB145" s="49" t="inlineStr">
        <is>
          <t xml:space="preserve">01 </t>
        </is>
      </c>
      <c r="AC145" s="49" t="inlineStr">
        <is>
          <t xml:space="preserve">                </t>
        </is>
      </c>
      <c r="AD145" s="49" t="inlineStr">
        <is>
          <t>LEY 50</t>
        </is>
      </c>
      <c r="AE145" s="49" t="inlineStr">
        <is>
          <t>No</t>
        </is>
      </c>
      <c r="AF145" s="49" t="inlineStr">
        <is>
          <t>Normal</t>
        </is>
      </c>
      <c r="AG145" s="49" t="n"/>
      <c r="AH145" s="49" t="inlineStr">
        <is>
          <t>Si</t>
        </is>
      </c>
      <c r="AI145" s="49" t="inlineStr">
        <is>
          <t xml:space="preserve">Normal              </t>
        </is>
      </c>
      <c r="AJ145" s="49" t="inlineStr">
        <is>
          <t xml:space="preserve">Quincenal                     </t>
        </is>
      </c>
      <c r="AK145" s="49" t="inlineStr">
        <is>
          <t>NO</t>
        </is>
      </c>
      <c r="AL145" s="49" t="inlineStr">
        <is>
          <t>NO</t>
        </is>
      </c>
      <c r="AM145" s="49" t="inlineStr">
        <is>
          <t>03/06/2025</t>
        </is>
      </c>
      <c r="AN145" s="49" t="n"/>
      <c r="AO145" s="49" t="n"/>
      <c r="AP145" s="49" t="inlineStr">
        <is>
          <t xml:space="preserve">NO APLICA                </t>
        </is>
      </c>
      <c r="AQ145" s="49" t="n">
        <v>177</v>
      </c>
      <c r="AR145" s="49" t="inlineStr">
        <is>
          <t>01</t>
        </is>
      </c>
      <c r="AS145" s="49" t="n">
        <v>1</v>
      </c>
      <c r="AT145" s="49" t="inlineStr">
        <is>
          <t>No</t>
        </is>
      </c>
      <c r="AU145" s="49" t="n">
        <v>0</v>
      </c>
      <c r="AV145" s="108" t="n">
        <v>0</v>
      </c>
      <c r="AW145" s="108" t="n">
        <v>0</v>
      </c>
      <c r="AX145" s="108" t="n">
        <v>0</v>
      </c>
      <c r="AY145" s="49" t="inlineStr">
        <is>
          <t>No</t>
        </is>
      </c>
      <c r="AZ145" s="49" t="n">
        <v>0</v>
      </c>
      <c r="BA145" s="49" t="inlineStr">
        <is>
          <t>NUEVA E.P.S</t>
        </is>
      </c>
      <c r="BB145" s="49" t="inlineStr">
        <is>
          <t>COLPENSIONES - I.S.S. PENSION</t>
        </is>
      </c>
      <c r="BC145" s="49" t="inlineStr">
        <is>
          <t>CCF DE CALDAS</t>
        </is>
      </c>
      <c r="BD145" s="49" t="inlineStr">
        <is>
          <t>RIESGOS PROFESIONALES COLMENA S.A.</t>
        </is>
      </c>
      <c r="BE145" s="49" t="inlineStr">
        <is>
          <t>PROTECCION CESANTIAS</t>
        </is>
      </c>
      <c r="BF145" s="49" t="n">
        <v>0.522</v>
      </c>
      <c r="BG145" s="49" t="n">
        <v>220</v>
      </c>
      <c r="BH145" s="49" t="n">
        <v>15</v>
      </c>
      <c r="BI145" s="49" t="inlineStr">
        <is>
          <t xml:space="preserve">0           </t>
        </is>
      </c>
      <c r="BJ145" s="49" t="inlineStr">
        <is>
          <t xml:space="preserve">NO APLICA                               </t>
        </is>
      </c>
      <c r="BK145" s="49" t="inlineStr">
        <is>
          <t>02</t>
        </is>
      </c>
      <c r="BL145" s="49" t="inlineStr">
        <is>
          <t xml:space="preserve">Caldas                                  </t>
        </is>
      </c>
      <c r="BM145" s="49" t="inlineStr">
        <is>
          <t>02</t>
        </is>
      </c>
      <c r="BN145" s="49" t="inlineStr">
        <is>
          <t xml:space="preserve">Supia                                   </t>
        </is>
      </c>
      <c r="BO145" s="49" t="inlineStr">
        <is>
          <t>0</t>
        </is>
      </c>
      <c r="BP145" s="49" t="inlineStr">
        <is>
          <t>NO APLICA</t>
        </is>
      </c>
      <c r="BQ145" s="49" t="inlineStr">
        <is>
          <t>0</t>
        </is>
      </c>
      <c r="BR145" s="49" t="inlineStr">
        <is>
          <t>NO APLICA</t>
        </is>
      </c>
      <c r="BS145" s="49" t="inlineStr">
        <is>
          <t>0</t>
        </is>
      </c>
      <c r="BT145" s="49" t="inlineStr">
        <is>
          <t>NO APLICA</t>
        </is>
      </c>
      <c r="BU145" s="49" t="inlineStr">
        <is>
          <t>0</t>
        </is>
      </c>
      <c r="BV145" s="49" t="inlineStr">
        <is>
          <t>NO APLICA</t>
        </is>
      </c>
      <c r="BW145" s="49" t="inlineStr">
        <is>
          <t>No</t>
        </is>
      </c>
      <c r="BX145" s="49" t="inlineStr">
        <is>
          <t xml:space="preserve">No Aplica                     </t>
        </is>
      </c>
    </row>
    <row r="146" ht="22.5" customHeight="1">
      <c r="A146" s="49" t="n">
        <v>1005088926</v>
      </c>
      <c r="B146" s="49" t="inlineStr">
        <is>
          <t>038</t>
        </is>
      </c>
      <c r="C146" s="49" t="n">
        <v>1005088926</v>
      </c>
      <c r="D146" s="49" t="inlineStr">
        <is>
          <t>CC</t>
        </is>
      </c>
      <c r="E146" s="49" t="inlineStr">
        <is>
          <t>BEDOYA SUAREZ JOSE DARIO</t>
        </is>
      </c>
      <c r="F146" s="49" t="inlineStr">
        <is>
          <t>M</t>
        </is>
      </c>
      <c r="G146" s="49" t="inlineStr">
        <is>
          <t xml:space="preserve">O  </t>
        </is>
      </c>
      <c r="H146" s="49" t="inlineStr">
        <is>
          <t>+</t>
        </is>
      </c>
      <c r="I146" s="49" t="inlineStr">
        <is>
          <t>SOLTERO</t>
        </is>
      </c>
      <c r="J146" s="49" t="inlineStr">
        <is>
          <t xml:space="preserve">ARMENIA                       </t>
        </is>
      </c>
      <c r="K146" s="49" t="n">
        <v>0</v>
      </c>
      <c r="L146" s="49" t="inlineStr">
        <is>
          <t>08/04/2002</t>
        </is>
      </c>
      <c r="M146" s="49" t="inlineStr">
        <is>
          <t xml:space="preserve">MARMATO                       </t>
        </is>
      </c>
      <c r="N146" s="49" t="inlineStr">
        <is>
          <t xml:space="preserve">3044517780          </t>
        </is>
      </c>
      <c r="O146" s="49" t="inlineStr">
        <is>
          <t>3044517780</t>
        </is>
      </c>
      <c r="P146" s="49" t="inlineStr">
        <is>
          <t>VEREDA LA PORTADA</t>
        </is>
      </c>
      <c r="Q146" s="49" t="inlineStr">
        <is>
          <t>josedariobedoyasuarez@gmail.com</t>
        </is>
      </c>
      <c r="R146" s="49" t="inlineStr">
        <is>
          <t>AUXILIAR DE EXPLORACIÓN</t>
        </is>
      </c>
      <c r="S146" s="108" t="n">
        <v>91.66666600000001</v>
      </c>
      <c r="T146" s="108" t="n">
        <v>0</v>
      </c>
      <c r="U146" s="108" t="n">
        <v>220</v>
      </c>
      <c r="V146" s="49" t="inlineStr">
        <is>
          <t>CONSIG. CTA AHORROS</t>
        </is>
      </c>
      <c r="W146" s="49" t="inlineStr">
        <is>
          <t xml:space="preserve">BANCO DAVIVIENDA S.A.         </t>
        </is>
      </c>
      <c r="X146" s="49" t="inlineStr">
        <is>
          <t xml:space="preserve">0550488422836194         </t>
        </is>
      </c>
      <c r="Y146" s="49" t="inlineStr">
        <is>
          <t xml:space="preserve">NO APLICA                     </t>
        </is>
      </c>
      <c r="Z146" s="49" t="inlineStr">
        <is>
          <t>CM0100-EXP</t>
        </is>
      </c>
      <c r="AA146" s="49" t="inlineStr">
        <is>
          <t>CM0100-EXP</t>
        </is>
      </c>
      <c r="AB146" s="49" t="inlineStr">
        <is>
          <t xml:space="preserve">01 </t>
        </is>
      </c>
      <c r="AC146" s="49" t="inlineStr">
        <is>
          <t xml:space="preserve">0               </t>
        </is>
      </c>
      <c r="AD146" s="49" t="inlineStr">
        <is>
          <t>LEY 50</t>
        </is>
      </c>
      <c r="AE146" s="49" t="inlineStr">
        <is>
          <t>Si</t>
        </is>
      </c>
      <c r="AF146" s="49" t="inlineStr">
        <is>
          <t>Normal</t>
        </is>
      </c>
      <c r="AG146" s="49" t="n"/>
      <c r="AH146" s="49" t="inlineStr">
        <is>
          <t>Si</t>
        </is>
      </c>
      <c r="AI146" s="49" t="inlineStr">
        <is>
          <t xml:space="preserve">Normal              </t>
        </is>
      </c>
      <c r="AJ146" s="49" t="inlineStr">
        <is>
          <t xml:space="preserve">Quincenal                     </t>
        </is>
      </c>
      <c r="AK146" s="49" t="inlineStr">
        <is>
          <t>NO</t>
        </is>
      </c>
      <c r="AL146" s="49" t="inlineStr">
        <is>
          <t>NO</t>
        </is>
      </c>
      <c r="AM146" s="49" t="inlineStr">
        <is>
          <t>02/09/2022</t>
        </is>
      </c>
      <c r="AN146" s="49" t="n"/>
      <c r="AO146" s="49" t="n"/>
      <c r="AP146" s="49" t="inlineStr">
        <is>
          <t xml:space="preserve">NO APLICA                </t>
        </is>
      </c>
      <c r="AQ146" s="49" t="n">
        <v>6</v>
      </c>
      <c r="AR146" s="49" t="inlineStr">
        <is>
          <t>01</t>
        </is>
      </c>
      <c r="AS146" s="49" t="n">
        <v>1</v>
      </c>
      <c r="AT146" s="49" t="inlineStr">
        <is>
          <t>Si</t>
        </is>
      </c>
      <c r="AU146" s="49" t="n">
        <v>0</v>
      </c>
      <c r="AV146" s="108" t="n">
        <v>0</v>
      </c>
      <c r="AW146" s="108" t="n">
        <v>0</v>
      </c>
      <c r="AX146" s="108" t="n">
        <v>0</v>
      </c>
      <c r="AY146" s="49" t="inlineStr">
        <is>
          <t>No</t>
        </is>
      </c>
      <c r="AZ146" s="49" t="n">
        <v>62455</v>
      </c>
      <c r="BA146" s="49" t="inlineStr">
        <is>
          <t>NUEVA E.P.S</t>
        </is>
      </c>
      <c r="BB146" s="49" t="inlineStr">
        <is>
          <t>PORVENIR A.F.P.</t>
        </is>
      </c>
      <c r="BC146" s="49" t="inlineStr">
        <is>
          <t>CCF DE CALDAS</t>
        </is>
      </c>
      <c r="BD146" s="49" t="inlineStr">
        <is>
          <t>RIESGOS PROFESIONALES COLMENA S.A.</t>
        </is>
      </c>
      <c r="BE146" s="49" t="inlineStr">
        <is>
          <t>PORVENIR CESANTIAS</t>
        </is>
      </c>
      <c r="BF146" s="49" t="n">
        <v>6.96</v>
      </c>
      <c r="BG146" s="49" t="n">
        <v>220</v>
      </c>
      <c r="BH146" s="49" t="n">
        <v>15</v>
      </c>
      <c r="BI146" s="49" t="inlineStr">
        <is>
          <t xml:space="preserve">0           </t>
        </is>
      </c>
      <c r="BJ146" s="49" t="inlineStr">
        <is>
          <t xml:space="preserve">NO APLICA                               </t>
        </is>
      </c>
      <c r="BK146" s="49" t="inlineStr">
        <is>
          <t>02</t>
        </is>
      </c>
      <c r="BL146" s="49" t="inlineStr">
        <is>
          <t xml:space="preserve">Caldas                                  </t>
        </is>
      </c>
      <c r="BM146" s="49" t="inlineStr">
        <is>
          <t>03</t>
        </is>
      </c>
      <c r="BN146" s="49" t="inlineStr">
        <is>
          <t xml:space="preserve">Marmato                                 </t>
        </is>
      </c>
      <c r="BO146" s="49" t="inlineStr">
        <is>
          <t>0</t>
        </is>
      </c>
      <c r="BP146" s="49" t="inlineStr">
        <is>
          <t>NO APLICA</t>
        </is>
      </c>
      <c r="BQ146" s="49" t="inlineStr">
        <is>
          <t>0</t>
        </is>
      </c>
      <c r="BR146" s="49" t="inlineStr">
        <is>
          <t>NO APLICA</t>
        </is>
      </c>
      <c r="BS146" s="49" t="inlineStr">
        <is>
          <t>0</t>
        </is>
      </c>
      <c r="BT146" s="49" t="inlineStr">
        <is>
          <t>NO APLICA</t>
        </is>
      </c>
      <c r="BU146" s="49" t="inlineStr">
        <is>
          <t>0</t>
        </is>
      </c>
      <c r="BV146" s="49" t="inlineStr">
        <is>
          <t>NO APLICA</t>
        </is>
      </c>
      <c r="BW146" s="49" t="inlineStr">
        <is>
          <t>No</t>
        </is>
      </c>
      <c r="BX146" s="49" t="inlineStr">
        <is>
          <t xml:space="preserve">No Aplica                     </t>
        </is>
      </c>
    </row>
    <row r="147" ht="22.5" customHeight="1">
      <c r="A147" s="49" t="n">
        <v>1005089085</v>
      </c>
      <c r="B147" s="49" t="inlineStr">
        <is>
          <t>033</t>
        </is>
      </c>
      <c r="C147" s="49" t="n">
        <v>1005089085</v>
      </c>
      <c r="D147" s="49" t="inlineStr">
        <is>
          <t>CC</t>
        </is>
      </c>
      <c r="E147" s="49" t="inlineStr">
        <is>
          <t>DIAZ ACEVEDO HAROLD IGNACIO</t>
        </is>
      </c>
      <c r="F147" s="49" t="inlineStr">
        <is>
          <t>M</t>
        </is>
      </c>
      <c r="G147" s="49" t="inlineStr">
        <is>
          <t xml:space="preserve">O  </t>
        </is>
      </c>
      <c r="H147" s="49" t="inlineStr">
        <is>
          <t>+</t>
        </is>
      </c>
      <c r="I147" s="49" t="inlineStr">
        <is>
          <t>SOLTERO</t>
        </is>
      </c>
      <c r="J147" s="49" t="inlineStr">
        <is>
          <t xml:space="preserve">ARMENIA                       </t>
        </is>
      </c>
      <c r="K147" s="49" t="n">
        <v>0</v>
      </c>
      <c r="L147" s="49" t="inlineStr">
        <is>
          <t>30/04/2002</t>
        </is>
      </c>
      <c r="M147" s="49" t="inlineStr">
        <is>
          <t xml:space="preserve">SUPIA                         </t>
        </is>
      </c>
      <c r="N147" s="49" t="inlineStr">
        <is>
          <t xml:space="preserve">3024643380          </t>
        </is>
      </c>
      <c r="O147" s="49" t="inlineStr">
        <is>
          <t>3024643380</t>
        </is>
      </c>
      <c r="P147" s="49" t="inlineStr">
        <is>
          <t>CARRERA 8 A # 18 A - 75</t>
        </is>
      </c>
      <c r="Q147" s="49" t="inlineStr">
        <is>
          <t>hida165@gmail.com</t>
        </is>
      </c>
      <c r="R147" s="49" t="inlineStr">
        <is>
          <t>Analista de Exploración</t>
        </is>
      </c>
      <c r="S147" s="108" t="n">
        <v>91.66666600000001</v>
      </c>
      <c r="T147" s="108" t="n">
        <v>0</v>
      </c>
      <c r="U147" s="108" t="n">
        <v>220</v>
      </c>
      <c r="V147" s="49" t="inlineStr">
        <is>
          <t>CONSIG. CTA AHORROS</t>
        </is>
      </c>
      <c r="W147" s="49" t="inlineStr">
        <is>
          <t xml:space="preserve">BANCO DAVIVIENDA S.A.         </t>
        </is>
      </c>
      <c r="X147" s="49" t="inlineStr">
        <is>
          <t xml:space="preserve">0550488417104517         </t>
        </is>
      </c>
      <c r="Y147" s="49" t="inlineStr">
        <is>
          <t xml:space="preserve">NO APLICA                     </t>
        </is>
      </c>
      <c r="Z147" s="49" t="inlineStr">
        <is>
          <t>CM0100-EXP</t>
        </is>
      </c>
      <c r="AA147" s="49" t="inlineStr">
        <is>
          <t>CM0100-EXP</t>
        </is>
      </c>
      <c r="AB147" s="49" t="inlineStr">
        <is>
          <t xml:space="preserve">01 </t>
        </is>
      </c>
      <c r="AC147" s="49" t="inlineStr">
        <is>
          <t xml:space="preserve">0               </t>
        </is>
      </c>
      <c r="AD147" s="49" t="inlineStr">
        <is>
          <t>LEY 50</t>
        </is>
      </c>
      <c r="AE147" s="49" t="inlineStr">
        <is>
          <t>Si</t>
        </is>
      </c>
      <c r="AF147" s="49" t="inlineStr">
        <is>
          <t>Normal</t>
        </is>
      </c>
      <c r="AG147" s="49" t="n"/>
      <c r="AH147" s="49" t="inlineStr">
        <is>
          <t>Si</t>
        </is>
      </c>
      <c r="AI147" s="49" t="inlineStr">
        <is>
          <t xml:space="preserve">Normal              </t>
        </is>
      </c>
      <c r="AJ147" s="49" t="inlineStr">
        <is>
          <t xml:space="preserve">Quincenal                     </t>
        </is>
      </c>
      <c r="AK147" s="49" t="inlineStr">
        <is>
          <t>NO</t>
        </is>
      </c>
      <c r="AL147" s="49" t="inlineStr">
        <is>
          <t>NO</t>
        </is>
      </c>
      <c r="AM147" s="49" t="inlineStr">
        <is>
          <t>13/08/2022</t>
        </is>
      </c>
      <c r="AN147" s="49" t="n"/>
      <c r="AO147" s="49" t="n"/>
      <c r="AP147" s="49" t="inlineStr">
        <is>
          <t xml:space="preserve">NO APLICA                </t>
        </is>
      </c>
      <c r="AQ147" s="49" t="n">
        <v>7</v>
      </c>
      <c r="AR147" s="49" t="inlineStr">
        <is>
          <t>01</t>
        </is>
      </c>
      <c r="AS147" s="49" t="n">
        <v>1</v>
      </c>
      <c r="AT147" s="49" t="inlineStr">
        <is>
          <t>Si</t>
        </is>
      </c>
      <c r="AU147" s="49" t="n">
        <v>0</v>
      </c>
      <c r="AV147" s="108" t="n">
        <v>0</v>
      </c>
      <c r="AW147" s="108" t="n">
        <v>0</v>
      </c>
      <c r="AX147" s="108" t="n">
        <v>0</v>
      </c>
      <c r="AY147" s="49" t="inlineStr">
        <is>
          <t>No</t>
        </is>
      </c>
      <c r="AZ147" s="49" t="n">
        <v>77303</v>
      </c>
      <c r="BA147" s="49" t="inlineStr">
        <is>
          <t>NUEVA E.P.S</t>
        </is>
      </c>
      <c r="BB147" s="49" t="inlineStr">
        <is>
          <t>PORVENIR A.F.P.</t>
        </is>
      </c>
      <c r="BC147" s="49" t="inlineStr">
        <is>
          <t>CCF DE CALDAS</t>
        </is>
      </c>
      <c r="BD147" s="49" t="inlineStr">
        <is>
          <t>RIESGOS PROFESIONALES COLMENA S.A.</t>
        </is>
      </c>
      <c r="BE147" s="49" t="inlineStr">
        <is>
          <t>PORVENIR CESANTIAS</t>
        </is>
      </c>
      <c r="BF147" s="49" t="n">
        <v>6.96</v>
      </c>
      <c r="BG147" s="49" t="n">
        <v>220</v>
      </c>
      <c r="BH147" s="49" t="n">
        <v>15</v>
      </c>
      <c r="BI147" s="49" t="inlineStr">
        <is>
          <t xml:space="preserve">0           </t>
        </is>
      </c>
      <c r="BJ147" s="49" t="inlineStr">
        <is>
          <t xml:space="preserve">NO APLICA                               </t>
        </is>
      </c>
      <c r="BK147" s="49" t="inlineStr">
        <is>
          <t>02</t>
        </is>
      </c>
      <c r="BL147" s="49" t="inlineStr">
        <is>
          <t xml:space="preserve">Caldas                                  </t>
        </is>
      </c>
      <c r="BM147" s="49" t="inlineStr">
        <is>
          <t>02</t>
        </is>
      </c>
      <c r="BN147" s="49" t="inlineStr">
        <is>
          <t xml:space="preserve">Supia                                   </t>
        </is>
      </c>
      <c r="BO147" s="49" t="inlineStr">
        <is>
          <t>0</t>
        </is>
      </c>
      <c r="BP147" s="49" t="inlineStr">
        <is>
          <t>NO APLICA</t>
        </is>
      </c>
      <c r="BQ147" s="49" t="inlineStr">
        <is>
          <t>0</t>
        </is>
      </c>
      <c r="BR147" s="49" t="inlineStr">
        <is>
          <t>NO APLICA</t>
        </is>
      </c>
      <c r="BS147" s="49" t="inlineStr">
        <is>
          <t>0</t>
        </is>
      </c>
      <c r="BT147" s="49" t="inlineStr">
        <is>
          <t>NO APLICA</t>
        </is>
      </c>
      <c r="BU147" s="49" t="inlineStr">
        <is>
          <t>0</t>
        </is>
      </c>
      <c r="BV147" s="49" t="inlineStr">
        <is>
          <t>NO APLICA</t>
        </is>
      </c>
      <c r="BW147" s="49" t="inlineStr">
        <is>
          <t>No</t>
        </is>
      </c>
      <c r="BX147" s="49" t="inlineStr">
        <is>
          <t xml:space="preserve">No Aplica                     </t>
        </is>
      </c>
    </row>
    <row r="148" ht="22.5" customHeight="1">
      <c r="A148" s="49" t="n">
        <v>1005098717</v>
      </c>
      <c r="B148" s="49" t="inlineStr">
        <is>
          <t>028</t>
        </is>
      </c>
      <c r="C148" s="49" t="n">
        <v>1005098717</v>
      </c>
      <c r="D148" s="49" t="inlineStr">
        <is>
          <t>CC</t>
        </is>
      </c>
      <c r="E148" s="49" t="inlineStr">
        <is>
          <t>GAÑAN BUENO SAMUEL HUMBERTO</t>
        </is>
      </c>
      <c r="F148" s="49" t="inlineStr">
        <is>
          <t>M</t>
        </is>
      </c>
      <c r="G148" s="49" t="inlineStr">
        <is>
          <t xml:space="preserve">O  </t>
        </is>
      </c>
      <c r="H148" s="49" t="inlineStr">
        <is>
          <t>+</t>
        </is>
      </c>
      <c r="I148" s="49" t="inlineStr">
        <is>
          <t>SOLTERO</t>
        </is>
      </c>
      <c r="J148" s="49" t="inlineStr">
        <is>
          <t xml:space="preserve">LA TEBAIDA                    </t>
        </is>
      </c>
      <c r="K148" s="49" t="n">
        <v>0</v>
      </c>
      <c r="L148" s="49" t="inlineStr">
        <is>
          <t>06/11/2002</t>
        </is>
      </c>
      <c r="M148" s="49" t="inlineStr">
        <is>
          <t xml:space="preserve">SUPIA                         </t>
        </is>
      </c>
      <c r="N148" s="49" t="inlineStr">
        <is>
          <t xml:space="preserve">3135787619          </t>
        </is>
      </c>
      <c r="O148" s="49" t="inlineStr">
        <is>
          <t>3135787619</t>
        </is>
      </c>
      <c r="P148" s="49" t="inlineStr">
        <is>
          <t>VEREDA LA QUINTA</t>
        </is>
      </c>
      <c r="Q148" s="49" t="inlineStr">
        <is>
          <t>samuelhumbertogananbueno123@gmail.com</t>
        </is>
      </c>
      <c r="R148" s="49" t="inlineStr">
        <is>
          <t>AUXILIAR DE EXPLORACIÓN</t>
        </is>
      </c>
      <c r="S148" s="108" t="n">
        <v>91.66666600000001</v>
      </c>
      <c r="T148" s="108" t="n">
        <v>0</v>
      </c>
      <c r="U148" s="108" t="n">
        <v>220</v>
      </c>
      <c r="V148" s="49" t="inlineStr">
        <is>
          <t>CONSIG. CTA AHORROS</t>
        </is>
      </c>
      <c r="W148" s="49" t="inlineStr">
        <is>
          <t xml:space="preserve">BANCO DAVIVIENDA S.A.         </t>
        </is>
      </c>
      <c r="X148" s="49" t="inlineStr">
        <is>
          <t xml:space="preserve">0550488421250694         </t>
        </is>
      </c>
      <c r="Y148" s="49" t="inlineStr">
        <is>
          <t xml:space="preserve">NO APLICA                     </t>
        </is>
      </c>
      <c r="Z148" s="49" t="inlineStr">
        <is>
          <t>CM0100-EXP</t>
        </is>
      </c>
      <c r="AA148" s="49" t="inlineStr">
        <is>
          <t>CM0100-EXP</t>
        </is>
      </c>
      <c r="AB148" s="49" t="inlineStr">
        <is>
          <t xml:space="preserve">01 </t>
        </is>
      </c>
      <c r="AC148" s="49" t="inlineStr">
        <is>
          <t xml:space="preserve">0               </t>
        </is>
      </c>
      <c r="AD148" s="49" t="inlineStr">
        <is>
          <t>LEY 50</t>
        </is>
      </c>
      <c r="AE148" s="49" t="inlineStr">
        <is>
          <t>Si</t>
        </is>
      </c>
      <c r="AF148" s="49" t="inlineStr">
        <is>
          <t>Normal</t>
        </is>
      </c>
      <c r="AG148" s="49" t="n"/>
      <c r="AH148" s="49" t="inlineStr">
        <is>
          <t>Si</t>
        </is>
      </c>
      <c r="AI148" s="49" t="inlineStr">
        <is>
          <t xml:space="preserve">Normal              </t>
        </is>
      </c>
      <c r="AJ148" s="49" t="inlineStr">
        <is>
          <t xml:space="preserve">Quincenal                     </t>
        </is>
      </c>
      <c r="AK148" s="49" t="inlineStr">
        <is>
          <t>NO</t>
        </is>
      </c>
      <c r="AL148" s="49" t="inlineStr">
        <is>
          <t>NO</t>
        </is>
      </c>
      <c r="AM148" s="49" t="inlineStr">
        <is>
          <t>01/06/2022</t>
        </is>
      </c>
      <c r="AN148" s="49" t="n"/>
      <c r="AO148" s="49" t="n"/>
      <c r="AP148" s="49" t="inlineStr">
        <is>
          <t xml:space="preserve">NO APLICA                </t>
        </is>
      </c>
      <c r="AQ148" s="49" t="n">
        <v>8</v>
      </c>
      <c r="AR148" s="49" t="inlineStr">
        <is>
          <t>01</t>
        </is>
      </c>
      <c r="AS148" s="49" t="n">
        <v>1</v>
      </c>
      <c r="AT148" s="49" t="inlineStr">
        <is>
          <t>Si</t>
        </is>
      </c>
      <c r="AU148" s="49" t="n">
        <v>0</v>
      </c>
      <c r="AV148" s="108" t="n">
        <v>0</v>
      </c>
      <c r="AW148" s="108" t="n">
        <v>0</v>
      </c>
      <c r="AX148" s="108" t="n">
        <v>0</v>
      </c>
      <c r="AY148" s="49" t="inlineStr">
        <is>
          <t>No</t>
        </is>
      </c>
      <c r="AZ148" s="49" t="n">
        <v>62153</v>
      </c>
      <c r="BA148" s="49" t="inlineStr">
        <is>
          <t>SALUD TOTAL E.P.S.</t>
        </is>
      </c>
      <c r="BB148" s="49" t="inlineStr">
        <is>
          <t>PROTECCION A.F.P</t>
        </is>
      </c>
      <c r="BC148" s="49" t="inlineStr">
        <is>
          <t>CCF DE CALDAS</t>
        </is>
      </c>
      <c r="BD148" s="49" t="inlineStr">
        <is>
          <t>RIESGOS PROFESIONALES COLMENA S.A.</t>
        </is>
      </c>
      <c r="BE148" s="49" t="inlineStr">
        <is>
          <t>PROTECCION CESANTIAS</t>
        </is>
      </c>
      <c r="BF148" s="49" t="n">
        <v>6.96</v>
      </c>
      <c r="BG148" s="49" t="n">
        <v>220</v>
      </c>
      <c r="BH148" s="49" t="n">
        <v>15</v>
      </c>
      <c r="BI148" s="49" t="inlineStr">
        <is>
          <t xml:space="preserve">0           </t>
        </is>
      </c>
      <c r="BJ148" s="49" t="inlineStr">
        <is>
          <t xml:space="preserve">NO APLICA                               </t>
        </is>
      </c>
      <c r="BK148" s="49" t="inlineStr">
        <is>
          <t>02</t>
        </is>
      </c>
      <c r="BL148" s="49" t="inlineStr">
        <is>
          <t xml:space="preserve">Caldas                                  </t>
        </is>
      </c>
      <c r="BM148" s="49" t="inlineStr">
        <is>
          <t>02</t>
        </is>
      </c>
      <c r="BN148" s="49" t="inlineStr">
        <is>
          <t xml:space="preserve">Supia                                   </t>
        </is>
      </c>
      <c r="BO148" s="49" t="inlineStr">
        <is>
          <t>0</t>
        </is>
      </c>
      <c r="BP148" s="49" t="inlineStr">
        <is>
          <t>NO APLICA</t>
        </is>
      </c>
      <c r="BQ148" s="49" t="inlineStr">
        <is>
          <t>0</t>
        </is>
      </c>
      <c r="BR148" s="49" t="inlineStr">
        <is>
          <t>NO APLICA</t>
        </is>
      </c>
      <c r="BS148" s="49" t="inlineStr">
        <is>
          <t>0</t>
        </is>
      </c>
      <c r="BT148" s="49" t="inlineStr">
        <is>
          <t>NO APLICA</t>
        </is>
      </c>
      <c r="BU148" s="49" t="inlineStr">
        <is>
          <t>0</t>
        </is>
      </c>
      <c r="BV148" s="49" t="inlineStr">
        <is>
          <t>NO APLICA</t>
        </is>
      </c>
      <c r="BW148" s="49" t="inlineStr">
        <is>
          <t>No</t>
        </is>
      </c>
      <c r="BX148" s="49" t="inlineStr">
        <is>
          <t xml:space="preserve">No Aplica                     </t>
        </is>
      </c>
    </row>
    <row r="149" ht="22.5" customHeight="1">
      <c r="A149" s="49" t="n">
        <v>1007224481</v>
      </c>
      <c r="B149" s="49" t="inlineStr">
        <is>
          <t>084</t>
        </is>
      </c>
      <c r="C149" s="49" t="n">
        <v>1007224481</v>
      </c>
      <c r="D149" s="49" t="inlineStr">
        <is>
          <t>CC</t>
        </is>
      </c>
      <c r="E149" s="49" t="inlineStr">
        <is>
          <t>BOTERO NEQUIRUCAMA YEISON ESTIVEN</t>
        </is>
      </c>
      <c r="F149" s="49" t="inlineStr">
        <is>
          <t>M</t>
        </is>
      </c>
      <c r="G149" s="49" t="inlineStr">
        <is>
          <t xml:space="preserve">A  </t>
        </is>
      </c>
      <c r="H149" s="49" t="inlineStr">
        <is>
          <t>+</t>
        </is>
      </c>
      <c r="I149" s="49" t="inlineStr">
        <is>
          <t>SOLTERO</t>
        </is>
      </c>
      <c r="J149" s="49" t="inlineStr">
        <is>
          <t xml:space="preserve">SUPIA                         </t>
        </is>
      </c>
      <c r="K149" s="49" t="n">
        <v>0</v>
      </c>
      <c r="L149" s="49" t="inlineStr">
        <is>
          <t>09/10/2001</t>
        </is>
      </c>
      <c r="M149" s="49" t="inlineStr">
        <is>
          <t xml:space="preserve">SUPIA                         </t>
        </is>
      </c>
      <c r="N149" s="49" t="inlineStr">
        <is>
          <t xml:space="preserve">0                   </t>
        </is>
      </c>
      <c r="O149" s="49" t="inlineStr">
        <is>
          <t>3114098014</t>
        </is>
      </c>
      <c r="P149" s="49" t="inlineStr">
        <is>
          <t>VDA SAN PABLO</t>
        </is>
      </c>
      <c r="Q149" s="49" t="inlineStr">
        <is>
          <t>yb58958@gmail.com</t>
        </is>
      </c>
      <c r="R149" s="49" t="inlineStr">
        <is>
          <t>AUXILIAR DE EXPLORACIÓN</t>
        </is>
      </c>
      <c r="S149" s="108" t="n">
        <v>91.66666600000001</v>
      </c>
      <c r="T149" s="108" t="n">
        <v>0</v>
      </c>
      <c r="U149" s="108" t="n">
        <v>220</v>
      </c>
      <c r="V149" s="49" t="inlineStr">
        <is>
          <t>CONSIG. CTA AHORROS</t>
        </is>
      </c>
      <c r="W149" s="49" t="inlineStr">
        <is>
          <t xml:space="preserve">BANCO DAVIVIENDA S.A.         </t>
        </is>
      </c>
      <c r="X149" s="49" t="inlineStr">
        <is>
          <t xml:space="preserve">0550126000682735         </t>
        </is>
      </c>
      <c r="Y149" s="49" t="inlineStr">
        <is>
          <t xml:space="preserve">NO APLICA                     </t>
        </is>
      </c>
      <c r="Z149" s="49" t="inlineStr">
        <is>
          <t>CM0100-EXP</t>
        </is>
      </c>
      <c r="AA149" s="49" t="inlineStr">
        <is>
          <t>CM0100-EXP</t>
        </is>
      </c>
      <c r="AB149" s="49" t="inlineStr">
        <is>
          <t xml:space="preserve">01 </t>
        </is>
      </c>
      <c r="AC149" s="49" t="inlineStr">
        <is>
          <t xml:space="preserve">                </t>
        </is>
      </c>
      <c r="AD149" s="49" t="inlineStr">
        <is>
          <t>LEY 50</t>
        </is>
      </c>
      <c r="AE149" s="49" t="inlineStr">
        <is>
          <t>No</t>
        </is>
      </c>
      <c r="AF149" s="49" t="inlineStr">
        <is>
          <t>Normal</t>
        </is>
      </c>
      <c r="AG149" s="49" t="n"/>
      <c r="AH149" s="49" t="inlineStr">
        <is>
          <t>Si</t>
        </is>
      </c>
      <c r="AI149" s="49" t="inlineStr">
        <is>
          <t xml:space="preserve">Normal              </t>
        </is>
      </c>
      <c r="AJ149" s="49" t="inlineStr">
        <is>
          <t xml:space="preserve">Quincenal                     </t>
        </is>
      </c>
      <c r="AK149" s="49" t="inlineStr">
        <is>
          <t>NO</t>
        </is>
      </c>
      <c r="AL149" s="49" t="inlineStr">
        <is>
          <t>NO</t>
        </is>
      </c>
      <c r="AM149" s="49" t="inlineStr">
        <is>
          <t>08/08/2024</t>
        </is>
      </c>
      <c r="AN149" s="49" t="n"/>
      <c r="AO149" s="49" t="n"/>
      <c r="AP149" s="49" t="inlineStr">
        <is>
          <t xml:space="preserve">NO APLICA                </t>
        </is>
      </c>
      <c r="AQ149" s="49" t="n">
        <v>146</v>
      </c>
      <c r="AR149" s="49" t="inlineStr">
        <is>
          <t>01</t>
        </is>
      </c>
      <c r="AS149" s="49" t="n">
        <v>1</v>
      </c>
      <c r="AT149" s="49" t="inlineStr">
        <is>
          <t>No</t>
        </is>
      </c>
      <c r="AU149" s="49" t="n">
        <v>0</v>
      </c>
      <c r="AV149" s="108" t="n">
        <v>0</v>
      </c>
      <c r="AW149" s="108" t="n">
        <v>0</v>
      </c>
      <c r="AX149" s="108" t="n">
        <v>0</v>
      </c>
      <c r="AY149" s="49" t="inlineStr">
        <is>
          <t>No</t>
        </is>
      </c>
      <c r="AZ149" s="49" t="n">
        <v>74535</v>
      </c>
      <c r="BA149" s="49" t="inlineStr">
        <is>
          <t>NUEVA E.P.S</t>
        </is>
      </c>
      <c r="BB149" s="49" t="inlineStr">
        <is>
          <t>PORVENIR A.F.P.</t>
        </is>
      </c>
      <c r="BC149" s="49" t="inlineStr">
        <is>
          <t>CCF DE CALDAS</t>
        </is>
      </c>
      <c r="BD149" s="49" t="inlineStr">
        <is>
          <t>RIESGOS PROFESIONALES COLMENA S.A.</t>
        </is>
      </c>
      <c r="BE149" s="49" t="inlineStr">
        <is>
          <t>PORVENIR CESANTIAS</t>
        </is>
      </c>
      <c r="BF149" s="49" t="n">
        <v>6.96</v>
      </c>
      <c r="BG149" s="49" t="n">
        <v>220</v>
      </c>
      <c r="BH149" s="49" t="n">
        <v>15</v>
      </c>
      <c r="BI149" s="49" t="inlineStr">
        <is>
          <t xml:space="preserve">0           </t>
        </is>
      </c>
      <c r="BJ149" s="49" t="inlineStr">
        <is>
          <t xml:space="preserve">NO APLICA                               </t>
        </is>
      </c>
      <c r="BK149" s="49" t="inlineStr">
        <is>
          <t>02</t>
        </is>
      </c>
      <c r="BL149" s="49" t="inlineStr">
        <is>
          <t xml:space="preserve">Caldas                                  </t>
        </is>
      </c>
      <c r="BM149" s="49" t="inlineStr">
        <is>
          <t>02</t>
        </is>
      </c>
      <c r="BN149" s="49" t="inlineStr">
        <is>
          <t xml:space="preserve">Supia                                   </t>
        </is>
      </c>
      <c r="BO149" s="49" t="inlineStr">
        <is>
          <t>0</t>
        </is>
      </c>
      <c r="BP149" s="49" t="inlineStr">
        <is>
          <t>NO APLICA</t>
        </is>
      </c>
      <c r="BQ149" s="49" t="inlineStr">
        <is>
          <t>0</t>
        </is>
      </c>
      <c r="BR149" s="49" t="inlineStr">
        <is>
          <t>NO APLICA</t>
        </is>
      </c>
      <c r="BS149" s="49" t="inlineStr">
        <is>
          <t>0</t>
        </is>
      </c>
      <c r="BT149" s="49" t="inlineStr">
        <is>
          <t>NO APLICA</t>
        </is>
      </c>
      <c r="BU149" s="49" t="inlineStr">
        <is>
          <t>0</t>
        </is>
      </c>
      <c r="BV149" s="49" t="inlineStr">
        <is>
          <t>NO APLICA</t>
        </is>
      </c>
      <c r="BW149" s="49" t="inlineStr">
        <is>
          <t>No</t>
        </is>
      </c>
      <c r="BX149" s="49" t="inlineStr">
        <is>
          <t xml:space="preserve">No Aplica                     </t>
        </is>
      </c>
    </row>
    <row r="150" ht="30" customHeight="1">
      <c r="A150" s="49" t="n">
        <v>1007227275</v>
      </c>
      <c r="B150" s="49" t="inlineStr">
        <is>
          <t>044</t>
        </is>
      </c>
      <c r="C150" s="49" t="n">
        <v>1007227275</v>
      </c>
      <c r="D150" s="49" t="inlineStr">
        <is>
          <t>CC</t>
        </is>
      </c>
      <c r="E150" s="49" t="inlineStr">
        <is>
          <t>JIMENEZ BENAVIDES MARIANA</t>
        </is>
      </c>
      <c r="F150" s="49" t="inlineStr">
        <is>
          <t>F</t>
        </is>
      </c>
      <c r="G150" s="49" t="inlineStr">
        <is>
          <t xml:space="preserve">O  </t>
        </is>
      </c>
      <c r="H150" s="49" t="inlineStr">
        <is>
          <t>+</t>
        </is>
      </c>
      <c r="I150" s="49" t="inlineStr">
        <is>
          <t>SOLTERO</t>
        </is>
      </c>
      <c r="J150" s="49" t="inlineStr">
        <is>
          <t xml:space="preserve">MANIZALES                     </t>
        </is>
      </c>
      <c r="K150" s="49" t="n">
        <v>0</v>
      </c>
      <c r="L150" s="49" t="inlineStr">
        <is>
          <t>13/12/1999</t>
        </is>
      </c>
      <c r="M150" s="49" t="inlineStr">
        <is>
          <t xml:space="preserve">SUPIA                         </t>
        </is>
      </c>
      <c r="N150" s="49" t="inlineStr">
        <is>
          <t xml:space="preserve">123                 </t>
        </is>
      </c>
      <c r="O150" s="49" t="inlineStr">
        <is>
          <t>3128565431</t>
        </is>
      </c>
      <c r="P150" s="49" t="inlineStr">
        <is>
          <t xml:space="preserve">CR 76 A  25 35 </t>
        </is>
      </c>
      <c r="Q150" s="49" t="inlineStr">
        <is>
          <t>mjimenezbenavides12@gmail.com</t>
        </is>
      </c>
      <c r="R150" s="49" t="inlineStr">
        <is>
          <t>COORDINADOR DE SOSTENIBILIDAD JUNIOR</t>
        </is>
      </c>
      <c r="S150" s="108" t="n">
        <v>91.66666600000001</v>
      </c>
      <c r="T150" s="108" t="n">
        <v>0</v>
      </c>
      <c r="U150" s="108" t="n">
        <v>220</v>
      </c>
      <c r="V150" s="49" t="inlineStr">
        <is>
          <t>CONSIG. CTA AHORROS</t>
        </is>
      </c>
      <c r="W150" s="49" t="inlineStr">
        <is>
          <t xml:space="preserve">BANCOLOMBIA S.A.              </t>
        </is>
      </c>
      <c r="X150" s="49" t="inlineStr">
        <is>
          <t xml:space="preserve">05900030845              </t>
        </is>
      </c>
      <c r="Y150" s="49" t="inlineStr">
        <is>
          <t xml:space="preserve">NO APLICA                     </t>
        </is>
      </c>
      <c r="Z150" s="49" t="inlineStr">
        <is>
          <t>CM0200-ESG</t>
        </is>
      </c>
      <c r="AA150" s="49" t="inlineStr">
        <is>
          <t>CM0200-ESGVP</t>
        </is>
      </c>
      <c r="AB150" s="49" t="inlineStr">
        <is>
          <t xml:space="preserve">01 </t>
        </is>
      </c>
      <c r="AC150" s="49" t="inlineStr">
        <is>
          <t xml:space="preserve">0               </t>
        </is>
      </c>
      <c r="AD150" s="49" t="inlineStr">
        <is>
          <t>LEY 50</t>
        </is>
      </c>
      <c r="AE150" s="49" t="inlineStr">
        <is>
          <t>No</t>
        </is>
      </c>
      <c r="AF150" s="49" t="inlineStr">
        <is>
          <t>Normal</t>
        </is>
      </c>
      <c r="AG150" s="49" t="n"/>
      <c r="AH150" s="49" t="inlineStr">
        <is>
          <t>Si</t>
        </is>
      </c>
      <c r="AI150" s="49" t="inlineStr">
        <is>
          <t xml:space="preserve">Normal              </t>
        </is>
      </c>
      <c r="AJ150" s="49" t="inlineStr">
        <is>
          <t xml:space="preserve">Quincenal                     </t>
        </is>
      </c>
      <c r="AK150" s="49" t="inlineStr">
        <is>
          <t>NO</t>
        </is>
      </c>
      <c r="AL150" s="49" t="inlineStr">
        <is>
          <t>NO</t>
        </is>
      </c>
      <c r="AM150" s="49" t="inlineStr">
        <is>
          <t>13/02/2023</t>
        </is>
      </c>
      <c r="AN150" s="49" t="n"/>
      <c r="AO150" s="49" t="n"/>
      <c r="AP150" s="49" t="inlineStr">
        <is>
          <t xml:space="preserve">NO APLICA                </t>
        </is>
      </c>
      <c r="AQ150" s="49" t="n">
        <v>81</v>
      </c>
      <c r="AR150" s="49" t="inlineStr">
        <is>
          <t>01</t>
        </is>
      </c>
      <c r="AS150" s="49" t="n">
        <v>1</v>
      </c>
      <c r="AT150" s="49" t="inlineStr">
        <is>
          <t>No</t>
        </is>
      </c>
      <c r="AU150" s="49" t="n">
        <v>0</v>
      </c>
      <c r="AV150" s="108" t="n">
        <v>0</v>
      </c>
      <c r="AW150" s="108" t="n">
        <v>0</v>
      </c>
      <c r="AX150" s="108" t="n">
        <v>0</v>
      </c>
      <c r="AY150" s="49" t="inlineStr">
        <is>
          <t>No</t>
        </is>
      </c>
      <c r="AZ150" s="49" t="n">
        <v>119664</v>
      </c>
      <c r="BA150" s="49" t="inlineStr">
        <is>
          <t>SURA E.P.S.</t>
        </is>
      </c>
      <c r="BB150" s="49" t="inlineStr">
        <is>
          <t>PORVENIR A.F.P.</t>
        </is>
      </c>
      <c r="BC150" s="49" t="inlineStr">
        <is>
          <t>CCF DE CALDAS</t>
        </is>
      </c>
      <c r="BD150" s="49" t="inlineStr">
        <is>
          <t>RIESGOS PROFESIONALES COLMENA S.A.</t>
        </is>
      </c>
      <c r="BE150" s="49" t="inlineStr">
        <is>
          <t>PORVENIR CESANTIAS</t>
        </is>
      </c>
      <c r="BF150" s="49" t="n">
        <v>0.522</v>
      </c>
      <c r="BG150" s="49" t="n">
        <v>220</v>
      </c>
      <c r="BH150" s="49" t="n">
        <v>15</v>
      </c>
      <c r="BI150" s="49" t="inlineStr">
        <is>
          <t xml:space="preserve">0           </t>
        </is>
      </c>
      <c r="BJ150" s="49" t="inlineStr">
        <is>
          <t xml:space="preserve">NO APLICA                               </t>
        </is>
      </c>
      <c r="BK150" s="49" t="inlineStr">
        <is>
          <t>02</t>
        </is>
      </c>
      <c r="BL150" s="49" t="inlineStr">
        <is>
          <t xml:space="preserve">Caldas                                  </t>
        </is>
      </c>
      <c r="BM150" s="49" t="inlineStr">
        <is>
          <t>02</t>
        </is>
      </c>
      <c r="BN150" s="49" t="inlineStr">
        <is>
          <t xml:space="preserve">Supia                                   </t>
        </is>
      </c>
      <c r="BO150" s="49" t="inlineStr">
        <is>
          <t>0</t>
        </is>
      </c>
      <c r="BP150" s="49" t="inlineStr">
        <is>
          <t>NO APLICA</t>
        </is>
      </c>
      <c r="BQ150" s="49" t="inlineStr">
        <is>
          <t>0</t>
        </is>
      </c>
      <c r="BR150" s="49" t="inlineStr">
        <is>
          <t>NO APLICA</t>
        </is>
      </c>
      <c r="BS150" s="49" t="inlineStr">
        <is>
          <t>0</t>
        </is>
      </c>
      <c r="BT150" s="49" t="inlineStr">
        <is>
          <t>NO APLICA</t>
        </is>
      </c>
      <c r="BU150" s="49" t="inlineStr">
        <is>
          <t>0</t>
        </is>
      </c>
      <c r="BV150" s="49" t="inlineStr">
        <is>
          <t>NO APLICA</t>
        </is>
      </c>
      <c r="BW150" s="49" t="inlineStr">
        <is>
          <t>No</t>
        </is>
      </c>
      <c r="BX150" s="49" t="inlineStr">
        <is>
          <t xml:space="preserve">No Aplica                     </t>
        </is>
      </c>
    </row>
    <row r="151" ht="22.5" customHeight="1">
      <c r="A151" s="49" t="n">
        <v>1007441856</v>
      </c>
      <c r="B151" s="49" t="inlineStr">
        <is>
          <t>059</t>
        </is>
      </c>
      <c r="C151" s="49" t="n">
        <v>1007441856</v>
      </c>
      <c r="D151" s="49" t="inlineStr">
        <is>
          <t>CC</t>
        </is>
      </c>
      <c r="E151" s="49" t="inlineStr">
        <is>
          <t>BUENO GANON LUIS MANUEL</t>
        </is>
      </c>
      <c r="F151" s="49" t="inlineStr">
        <is>
          <t>M</t>
        </is>
      </c>
      <c r="G151" s="49" t="inlineStr">
        <is>
          <t xml:space="preserve">O  </t>
        </is>
      </c>
      <c r="H151" s="49" t="inlineStr">
        <is>
          <t>+</t>
        </is>
      </c>
      <c r="I151" s="49" t="inlineStr">
        <is>
          <t>SOLTERO</t>
        </is>
      </c>
      <c r="J151" s="49" t="inlineStr">
        <is>
          <t xml:space="preserve">RIOSUCIO                      </t>
        </is>
      </c>
      <c r="K151" s="49" t="n">
        <v>0</v>
      </c>
      <c r="L151" s="49" t="inlineStr">
        <is>
          <t>16/05/2000</t>
        </is>
      </c>
      <c r="M151" s="49" t="inlineStr">
        <is>
          <t xml:space="preserve">SUPIA                         </t>
        </is>
      </c>
      <c r="N151" s="49" t="inlineStr">
        <is>
          <t xml:space="preserve">NA                  </t>
        </is>
      </c>
      <c r="O151" s="49" t="inlineStr">
        <is>
          <t>3137713301</t>
        </is>
      </c>
      <c r="P151" s="49" t="inlineStr">
        <is>
          <t>SAN LORENZO VEREDA COSTA RICA</t>
        </is>
      </c>
      <c r="Q151" s="49" t="inlineStr">
        <is>
          <t>luismabg74@gmail.com</t>
        </is>
      </c>
      <c r="R151" s="49" t="inlineStr">
        <is>
          <t>Auxiliar de Exploración y Corte</t>
        </is>
      </c>
      <c r="S151" s="108" t="n">
        <v>91.66666600000001</v>
      </c>
      <c r="T151" s="108" t="n">
        <v>0</v>
      </c>
      <c r="U151" s="108" t="n">
        <v>220</v>
      </c>
      <c r="V151" s="49" t="inlineStr">
        <is>
          <t>CONSIG. CTA AHORROS</t>
        </is>
      </c>
      <c r="W151" s="49" t="inlineStr">
        <is>
          <t xml:space="preserve">BANCO DAVIVIENDA S.A.         </t>
        </is>
      </c>
      <c r="X151" s="49" t="inlineStr">
        <is>
          <t xml:space="preserve">488431701702             </t>
        </is>
      </c>
      <c r="Y151" s="49" t="inlineStr">
        <is>
          <t xml:space="preserve">NO APLICA                     </t>
        </is>
      </c>
      <c r="Z151" s="49" t="inlineStr">
        <is>
          <t>CM0100-EXP</t>
        </is>
      </c>
      <c r="AA151" s="49" t="inlineStr">
        <is>
          <t>CM0100-EXP</t>
        </is>
      </c>
      <c r="AB151" s="49" t="inlineStr">
        <is>
          <t xml:space="preserve">01 </t>
        </is>
      </c>
      <c r="AC151" s="49" t="inlineStr">
        <is>
          <t xml:space="preserve">                </t>
        </is>
      </c>
      <c r="AD151" s="49" t="inlineStr">
        <is>
          <t>LEY 50</t>
        </is>
      </c>
      <c r="AE151" s="49" t="inlineStr">
        <is>
          <t>No</t>
        </is>
      </c>
      <c r="AF151" s="49" t="inlineStr">
        <is>
          <t>Normal</t>
        </is>
      </c>
      <c r="AG151" s="49" t="n"/>
      <c r="AH151" s="49" t="inlineStr">
        <is>
          <t>Si</t>
        </is>
      </c>
      <c r="AI151" s="49" t="inlineStr">
        <is>
          <t xml:space="preserve">Normal              </t>
        </is>
      </c>
      <c r="AJ151" s="49" t="inlineStr">
        <is>
          <t xml:space="preserve">Quincenal                     </t>
        </is>
      </c>
      <c r="AK151" s="49" t="inlineStr">
        <is>
          <t>NO</t>
        </is>
      </c>
      <c r="AL151" s="49" t="inlineStr">
        <is>
          <t>NO</t>
        </is>
      </c>
      <c r="AM151" s="49" t="inlineStr">
        <is>
          <t>01/08/2023</t>
        </is>
      </c>
      <c r="AN151" s="49" t="n"/>
      <c r="AO151" s="49" t="n"/>
      <c r="AP151" s="49" t="inlineStr">
        <is>
          <t xml:space="preserve">NO APLICA                </t>
        </is>
      </c>
      <c r="AQ151" s="49" t="n">
        <v>104</v>
      </c>
      <c r="AR151" s="49" t="inlineStr">
        <is>
          <t>01</t>
        </is>
      </c>
      <c r="AS151" s="49" t="n">
        <v>1</v>
      </c>
      <c r="AT151" s="49" t="inlineStr">
        <is>
          <t>No</t>
        </is>
      </c>
      <c r="AU151" s="49" t="n">
        <v>0</v>
      </c>
      <c r="AV151" s="108" t="n">
        <v>0</v>
      </c>
      <c r="AW151" s="108" t="n">
        <v>0</v>
      </c>
      <c r="AX151" s="108" t="n">
        <v>0</v>
      </c>
      <c r="AY151" s="49" t="inlineStr">
        <is>
          <t>No</t>
        </is>
      </c>
      <c r="AZ151" s="49" t="n">
        <v>85993</v>
      </c>
      <c r="BA151" s="49" t="inlineStr">
        <is>
          <t>NUEVA E.P.S</t>
        </is>
      </c>
      <c r="BB151" s="49" t="inlineStr">
        <is>
          <t>PORVENIR A.F.P.</t>
        </is>
      </c>
      <c r="BC151" s="49" t="inlineStr">
        <is>
          <t>CCF DE CALDAS</t>
        </is>
      </c>
      <c r="BD151" s="49" t="inlineStr">
        <is>
          <t>RIESGOS PROFESIONALES COLMENA S.A.</t>
        </is>
      </c>
      <c r="BE151" s="49" t="inlineStr">
        <is>
          <t>PORVENIR CESANTIAS</t>
        </is>
      </c>
      <c r="BF151" s="49" t="n">
        <v>6.96</v>
      </c>
      <c r="BG151" s="49" t="n">
        <v>220</v>
      </c>
      <c r="BH151" s="49" t="n">
        <v>15</v>
      </c>
      <c r="BI151" s="49" t="inlineStr">
        <is>
          <t xml:space="preserve">0           </t>
        </is>
      </c>
      <c r="BJ151" s="49" t="inlineStr">
        <is>
          <t xml:space="preserve">NO APLICA                               </t>
        </is>
      </c>
      <c r="BK151" s="49" t="inlineStr">
        <is>
          <t>02</t>
        </is>
      </c>
      <c r="BL151" s="49" t="inlineStr">
        <is>
          <t xml:space="preserve">Caldas                                  </t>
        </is>
      </c>
      <c r="BM151" s="49" t="inlineStr">
        <is>
          <t>02</t>
        </is>
      </c>
      <c r="BN151" s="49" t="inlineStr">
        <is>
          <t xml:space="preserve">Supia                                   </t>
        </is>
      </c>
      <c r="BO151" s="49" t="inlineStr">
        <is>
          <t>0</t>
        </is>
      </c>
      <c r="BP151" s="49" t="inlineStr">
        <is>
          <t>NO APLICA</t>
        </is>
      </c>
      <c r="BQ151" s="49" t="inlineStr">
        <is>
          <t>0</t>
        </is>
      </c>
      <c r="BR151" s="49" t="inlineStr">
        <is>
          <t>NO APLICA</t>
        </is>
      </c>
      <c r="BS151" s="49" t="inlineStr">
        <is>
          <t>0</t>
        </is>
      </c>
      <c r="BT151" s="49" t="inlineStr">
        <is>
          <t>NO APLICA</t>
        </is>
      </c>
      <c r="BU151" s="49" t="inlineStr">
        <is>
          <t>0</t>
        </is>
      </c>
      <c r="BV151" s="49" t="inlineStr">
        <is>
          <t>NO APLICA</t>
        </is>
      </c>
      <c r="BW151" s="49" t="inlineStr">
        <is>
          <t>No</t>
        </is>
      </c>
      <c r="BX151" s="49" t="inlineStr">
        <is>
          <t xml:space="preserve">No Aplica                     </t>
        </is>
      </c>
    </row>
    <row r="152" ht="15" customHeight="1">
      <c r="A152" s="49" t="n">
        <v>1007593984</v>
      </c>
      <c r="B152" s="49" t="inlineStr">
        <is>
          <t>166</t>
        </is>
      </c>
      <c r="C152" s="49" t="n">
        <v>1007593984</v>
      </c>
      <c r="D152" s="49" t="inlineStr">
        <is>
          <t>CC</t>
        </is>
      </c>
      <c r="E152" s="49" t="inlineStr">
        <is>
          <t>TRILLERAS SANCHEZ JULIAN ALEXIS</t>
        </is>
      </c>
      <c r="F152" s="49" t="inlineStr">
        <is>
          <t>M</t>
        </is>
      </c>
      <c r="G152" s="49" t="inlineStr">
        <is>
          <t xml:space="preserve">A  </t>
        </is>
      </c>
      <c r="H152" s="49" t="inlineStr">
        <is>
          <t>+</t>
        </is>
      </c>
      <c r="I152" s="49" t="inlineStr">
        <is>
          <t>SOLTERO</t>
        </is>
      </c>
      <c r="J152" s="49" t="inlineStr">
        <is>
          <t xml:space="preserve">MANIZALES                     </t>
        </is>
      </c>
      <c r="K152" s="49" t="n">
        <v>0</v>
      </c>
      <c r="L152" s="49" t="inlineStr">
        <is>
          <t>17/02/2001</t>
        </is>
      </c>
      <c r="M152" s="49" t="inlineStr">
        <is>
          <t xml:space="preserve">SUPIA                         </t>
        </is>
      </c>
      <c r="N152" s="49" t="inlineStr">
        <is>
          <t xml:space="preserve">0000                </t>
        </is>
      </c>
      <c r="O152" s="49" t="inlineStr">
        <is>
          <t>3214527387</t>
        </is>
      </c>
      <c r="P152" s="49" t="inlineStr">
        <is>
          <t>AVDA Lindsay  24 79</t>
        </is>
      </c>
      <c r="Q152" s="49" t="inlineStr">
        <is>
          <t>juliantrilleras3000@gmail.com</t>
        </is>
      </c>
      <c r="R152" s="49" t="inlineStr">
        <is>
          <t>GEOLOGO JUNIOR</t>
        </is>
      </c>
      <c r="S152" s="108" t="n">
        <v>91.66666600000001</v>
      </c>
      <c r="T152" s="108" t="n">
        <v>0</v>
      </c>
      <c r="U152" s="108" t="n">
        <v>220</v>
      </c>
      <c r="V152" s="49" t="inlineStr">
        <is>
          <t>CONSIG. CTA AHORROS</t>
        </is>
      </c>
      <c r="W152" s="49" t="inlineStr">
        <is>
          <t xml:space="preserve">BANCOLOMBIA S.A.              </t>
        </is>
      </c>
      <c r="X152" s="49" t="inlineStr">
        <is>
          <t xml:space="preserve">91273016568              </t>
        </is>
      </c>
      <c r="Y152" s="49" t="inlineStr">
        <is>
          <t xml:space="preserve">NO APLICA                     </t>
        </is>
      </c>
      <c r="Z152" s="49" t="inlineStr">
        <is>
          <t>CM0100-EXP</t>
        </is>
      </c>
      <c r="AA152" s="49" t="inlineStr">
        <is>
          <t>CM0100-EXP</t>
        </is>
      </c>
      <c r="AB152" s="49" t="inlineStr">
        <is>
          <t xml:space="preserve">01 </t>
        </is>
      </c>
      <c r="AC152" s="49" t="inlineStr">
        <is>
          <t xml:space="preserve">                </t>
        </is>
      </c>
      <c r="AD152" s="49" t="inlineStr">
        <is>
          <t>LEY 50</t>
        </is>
      </c>
      <c r="AE152" s="49" t="inlineStr">
        <is>
          <t>No</t>
        </is>
      </c>
      <c r="AF152" s="49" t="inlineStr">
        <is>
          <t>Normal</t>
        </is>
      </c>
      <c r="AG152" s="49" t="n"/>
      <c r="AH152" s="49" t="inlineStr">
        <is>
          <t>Si</t>
        </is>
      </c>
      <c r="AI152" s="49" t="inlineStr">
        <is>
          <t xml:space="preserve">Normal              </t>
        </is>
      </c>
      <c r="AJ152" s="49" t="inlineStr">
        <is>
          <t xml:space="preserve">Quincenal                     </t>
        </is>
      </c>
      <c r="AK152" s="49" t="inlineStr">
        <is>
          <t>NO</t>
        </is>
      </c>
      <c r="AL152" s="49" t="inlineStr">
        <is>
          <t>NO</t>
        </is>
      </c>
      <c r="AM152" s="49" t="inlineStr">
        <is>
          <t>12/02/2026</t>
        </is>
      </c>
      <c r="AN152" s="49" t="n"/>
      <c r="AO152" s="49" t="n"/>
      <c r="AP152" s="49" t="inlineStr">
        <is>
          <t xml:space="preserve">NO APLICA                </t>
        </is>
      </c>
      <c r="AQ152" s="49" t="n">
        <v>229</v>
      </c>
      <c r="AR152" s="49" t="inlineStr">
        <is>
          <t>01</t>
        </is>
      </c>
      <c r="AS152" s="49" t="n">
        <v>1</v>
      </c>
      <c r="AT152" s="49" t="inlineStr">
        <is>
          <t>No</t>
        </is>
      </c>
      <c r="AU152" s="49" t="n">
        <v>0</v>
      </c>
      <c r="AV152" s="108" t="n">
        <v>0</v>
      </c>
      <c r="AW152" s="108" t="n">
        <v>0</v>
      </c>
      <c r="AX152" s="108" t="n">
        <v>0</v>
      </c>
      <c r="AY152" s="49" t="inlineStr">
        <is>
          <t>No</t>
        </is>
      </c>
      <c r="AZ152" s="49" t="n">
        <v>0</v>
      </c>
      <c r="BA152" s="49" t="inlineStr">
        <is>
          <t>SANITAS E.P.S</t>
        </is>
      </c>
      <c r="BB152" s="49" t="inlineStr">
        <is>
          <t>COLPENSIONES - I.S.S. PENSION</t>
        </is>
      </c>
      <c r="BC152" s="49" t="inlineStr">
        <is>
          <t>CCF DE CALDAS</t>
        </is>
      </c>
      <c r="BD152" s="49" t="inlineStr">
        <is>
          <t>RIESGOS PROFESIONALES COLMENA S.A.</t>
        </is>
      </c>
      <c r="BE152" s="49" t="inlineStr">
        <is>
          <t>PORVENIR CESANTIAS</t>
        </is>
      </c>
      <c r="BF152" s="49" t="n">
        <v>6.96</v>
      </c>
      <c r="BG152" s="49" t="n">
        <v>220</v>
      </c>
      <c r="BH152" s="49" t="n">
        <v>15</v>
      </c>
      <c r="BI152" s="49" t="inlineStr">
        <is>
          <t xml:space="preserve">0           </t>
        </is>
      </c>
      <c r="BJ152" s="49" t="inlineStr">
        <is>
          <t xml:space="preserve">NO APLICA                               </t>
        </is>
      </c>
      <c r="BK152" s="49" t="inlineStr">
        <is>
          <t>02</t>
        </is>
      </c>
      <c r="BL152" s="49" t="inlineStr">
        <is>
          <t xml:space="preserve">Caldas                                  </t>
        </is>
      </c>
      <c r="BM152" s="49" t="inlineStr">
        <is>
          <t>02</t>
        </is>
      </c>
      <c r="BN152" s="49" t="inlineStr">
        <is>
          <t xml:space="preserve">Supia                                   </t>
        </is>
      </c>
      <c r="BO152" s="49" t="inlineStr">
        <is>
          <t>0</t>
        </is>
      </c>
      <c r="BP152" s="49" t="inlineStr">
        <is>
          <t>NO APLICA</t>
        </is>
      </c>
      <c r="BQ152" s="49" t="inlineStr">
        <is>
          <t>0</t>
        </is>
      </c>
      <c r="BR152" s="49" t="inlineStr">
        <is>
          <t>NO APLICA</t>
        </is>
      </c>
      <c r="BS152" s="49" t="inlineStr">
        <is>
          <t>0</t>
        </is>
      </c>
      <c r="BT152" s="49" t="inlineStr">
        <is>
          <t>NO APLICA</t>
        </is>
      </c>
      <c r="BU152" s="49" t="inlineStr">
        <is>
          <t>0</t>
        </is>
      </c>
      <c r="BV152" s="49" t="inlineStr">
        <is>
          <t>NO APLICA</t>
        </is>
      </c>
      <c r="BW152" s="49" t="inlineStr">
        <is>
          <t>No</t>
        </is>
      </c>
      <c r="BX152" s="49" t="inlineStr">
        <is>
          <t xml:space="preserve">No Aplica                     </t>
        </is>
      </c>
    </row>
    <row r="153" ht="22.5" customHeight="1">
      <c r="A153" s="49" t="n">
        <v>1007651838</v>
      </c>
      <c r="B153" s="49" t="inlineStr">
        <is>
          <t>037</t>
        </is>
      </c>
      <c r="C153" s="49" t="n">
        <v>1007651838</v>
      </c>
      <c r="D153" s="49" t="inlineStr">
        <is>
          <t>CC</t>
        </is>
      </c>
      <c r="E153" s="49" t="inlineStr">
        <is>
          <t>DIAZ RODRIGUEZ RONALD SNEIDER</t>
        </is>
      </c>
      <c r="F153" s="49" t="inlineStr">
        <is>
          <t>M</t>
        </is>
      </c>
      <c r="G153" s="49" t="inlineStr">
        <is>
          <t xml:space="preserve">O  </t>
        </is>
      </c>
      <c r="H153" s="49" t="inlineStr">
        <is>
          <t>+</t>
        </is>
      </c>
      <c r="I153" s="49" t="inlineStr">
        <is>
          <t>SOLTERO</t>
        </is>
      </c>
      <c r="J153" s="49" t="inlineStr">
        <is>
          <t xml:space="preserve">SUPIA                         </t>
        </is>
      </c>
      <c r="K153" s="49" t="n">
        <v>0</v>
      </c>
      <c r="L153" s="49" t="inlineStr">
        <is>
          <t>25/09/2000</t>
        </is>
      </c>
      <c r="M153" s="49" t="inlineStr">
        <is>
          <t xml:space="preserve">SUPIA                         </t>
        </is>
      </c>
      <c r="N153" s="49" t="inlineStr">
        <is>
          <t xml:space="preserve">3058655653          </t>
        </is>
      </c>
      <c r="O153" s="49" t="inlineStr">
        <is>
          <t>3058655653</t>
        </is>
      </c>
      <c r="P153" s="49" t="inlineStr">
        <is>
          <t>VEREDA ARCON</t>
        </is>
      </c>
      <c r="Q153" s="49" t="inlineStr">
        <is>
          <t>diazronald950@gmail.com</t>
        </is>
      </c>
      <c r="R153" s="49" t="inlineStr">
        <is>
          <t>AUXILIAR DE EXPLORACIÓN</t>
        </is>
      </c>
      <c r="S153" s="108" t="n">
        <v>91.66666600000001</v>
      </c>
      <c r="T153" s="108" t="n">
        <v>0</v>
      </c>
      <c r="U153" s="108" t="n">
        <v>220</v>
      </c>
      <c r="V153" s="49" t="inlineStr">
        <is>
          <t>CONSIG. CTA AHORROS</t>
        </is>
      </c>
      <c r="W153" s="49" t="inlineStr">
        <is>
          <t xml:space="preserve">BANCO DAVIVIENDA S.A.         </t>
        </is>
      </c>
      <c r="X153" s="49" t="inlineStr">
        <is>
          <t xml:space="preserve">084700081825             </t>
        </is>
      </c>
      <c r="Y153" s="49" t="inlineStr">
        <is>
          <t xml:space="preserve">NO APLICA                     </t>
        </is>
      </c>
      <c r="Z153" s="49" t="inlineStr">
        <is>
          <t>CM0100-EXP</t>
        </is>
      </c>
      <c r="AA153" s="49" t="inlineStr">
        <is>
          <t>CM0100-EXP</t>
        </is>
      </c>
      <c r="AB153" s="49" t="inlineStr">
        <is>
          <t xml:space="preserve">01 </t>
        </is>
      </c>
      <c r="AC153" s="49" t="inlineStr">
        <is>
          <t xml:space="preserve">0               </t>
        </is>
      </c>
      <c r="AD153" s="49" t="inlineStr">
        <is>
          <t>LEY 50</t>
        </is>
      </c>
      <c r="AE153" s="49" t="inlineStr">
        <is>
          <t>Si</t>
        </is>
      </c>
      <c r="AF153" s="49" t="inlineStr">
        <is>
          <t>Normal</t>
        </is>
      </c>
      <c r="AG153" s="49" t="n"/>
      <c r="AH153" s="49" t="inlineStr">
        <is>
          <t>Si</t>
        </is>
      </c>
      <c r="AI153" s="49" t="inlineStr">
        <is>
          <t xml:space="preserve">Normal              </t>
        </is>
      </c>
      <c r="AJ153" s="49" t="inlineStr">
        <is>
          <t xml:space="preserve">Quincenal                     </t>
        </is>
      </c>
      <c r="AK153" s="49" t="inlineStr">
        <is>
          <t>NO</t>
        </is>
      </c>
      <c r="AL153" s="49" t="inlineStr">
        <is>
          <t>NO</t>
        </is>
      </c>
      <c r="AM153" s="49" t="inlineStr">
        <is>
          <t>01/09/2022</t>
        </is>
      </c>
      <c r="AN153" s="49" t="n"/>
      <c r="AO153" s="49" t="n"/>
      <c r="AP153" s="49" t="inlineStr">
        <is>
          <t xml:space="preserve">NO APLICA                </t>
        </is>
      </c>
      <c r="AQ153" s="49" t="n">
        <v>10</v>
      </c>
      <c r="AR153" s="49" t="inlineStr">
        <is>
          <t>01</t>
        </is>
      </c>
      <c r="AS153" s="49" t="n">
        <v>1</v>
      </c>
      <c r="AT153" s="49" t="inlineStr">
        <is>
          <t>Si</t>
        </is>
      </c>
      <c r="AU153" s="49" t="n">
        <v>0</v>
      </c>
      <c r="AV153" s="108" t="n">
        <v>0</v>
      </c>
      <c r="AW153" s="108" t="n">
        <v>0</v>
      </c>
      <c r="AX153" s="108" t="n">
        <v>0</v>
      </c>
      <c r="AY153" s="49" t="inlineStr">
        <is>
          <t>No</t>
        </is>
      </c>
      <c r="AZ153" s="49" t="n">
        <v>75665</v>
      </c>
      <c r="BA153" s="49" t="inlineStr">
        <is>
          <t>NUEVA E.P.S</t>
        </is>
      </c>
      <c r="BB153" s="49" t="inlineStr">
        <is>
          <t>COLPENSIONES - I.S.S. PENSION</t>
        </is>
      </c>
      <c r="BC153" s="49" t="inlineStr">
        <is>
          <t>CCF DE CALDAS</t>
        </is>
      </c>
      <c r="BD153" s="49" t="inlineStr">
        <is>
          <t>RIESGOS PROFESIONALES COLMENA S.A.</t>
        </is>
      </c>
      <c r="BE153" s="49" t="inlineStr">
        <is>
          <t>PORVENIR CESANTIAS</t>
        </is>
      </c>
      <c r="BF153" s="49" t="n">
        <v>6.96</v>
      </c>
      <c r="BG153" s="49" t="n">
        <v>220</v>
      </c>
      <c r="BH153" s="49" t="n">
        <v>15</v>
      </c>
      <c r="BI153" s="49" t="inlineStr">
        <is>
          <t xml:space="preserve">0           </t>
        </is>
      </c>
      <c r="BJ153" s="49" t="inlineStr">
        <is>
          <t xml:space="preserve">NO APLICA                               </t>
        </is>
      </c>
      <c r="BK153" s="49" t="inlineStr">
        <is>
          <t>02</t>
        </is>
      </c>
      <c r="BL153" s="49" t="inlineStr">
        <is>
          <t xml:space="preserve">Caldas                                  </t>
        </is>
      </c>
      <c r="BM153" s="49" t="inlineStr">
        <is>
          <t>02</t>
        </is>
      </c>
      <c r="BN153" s="49" t="inlineStr">
        <is>
          <t xml:space="preserve">Supia                                   </t>
        </is>
      </c>
      <c r="BO153" s="49" t="inlineStr">
        <is>
          <t>0</t>
        </is>
      </c>
      <c r="BP153" s="49" t="inlineStr">
        <is>
          <t>NO APLICA</t>
        </is>
      </c>
      <c r="BQ153" s="49" t="inlineStr">
        <is>
          <t>0</t>
        </is>
      </c>
      <c r="BR153" s="49" t="inlineStr">
        <is>
          <t>NO APLICA</t>
        </is>
      </c>
      <c r="BS153" s="49" t="inlineStr">
        <is>
          <t>0</t>
        </is>
      </c>
      <c r="BT153" s="49" t="inlineStr">
        <is>
          <t>NO APLICA</t>
        </is>
      </c>
      <c r="BU153" s="49" t="inlineStr">
        <is>
          <t>0</t>
        </is>
      </c>
      <c r="BV153" s="49" t="inlineStr">
        <is>
          <t>NO APLICA</t>
        </is>
      </c>
      <c r="BW153" s="49" t="inlineStr">
        <is>
          <t>No</t>
        </is>
      </c>
      <c r="BX153" s="49" t="inlineStr">
        <is>
          <t xml:space="preserve">No Aplica                     </t>
        </is>
      </c>
    </row>
    <row r="154" ht="22.5" customHeight="1">
      <c r="A154" s="49" t="n">
        <v>1007651973</v>
      </c>
      <c r="B154" s="49" t="inlineStr">
        <is>
          <t>094</t>
        </is>
      </c>
      <c r="C154" s="49" t="n">
        <v>1007651973</v>
      </c>
      <c r="D154" s="49" t="inlineStr">
        <is>
          <t>CC</t>
        </is>
      </c>
      <c r="E154" s="49" t="inlineStr">
        <is>
          <t>RIOS HERRERA YENIFER LEANDRA</t>
        </is>
      </c>
      <c r="F154" s="49" t="inlineStr">
        <is>
          <t>F</t>
        </is>
      </c>
      <c r="G154" s="49" t="inlineStr">
        <is>
          <t xml:space="preserve">A  </t>
        </is>
      </c>
      <c r="H154" s="49" t="inlineStr">
        <is>
          <t>+</t>
        </is>
      </c>
      <c r="I154" s="49" t="inlineStr">
        <is>
          <t>SOLTERO</t>
        </is>
      </c>
      <c r="J154" s="49" t="inlineStr">
        <is>
          <t xml:space="preserve">SUPIA                         </t>
        </is>
      </c>
      <c r="K154" s="49" t="n">
        <v>0</v>
      </c>
      <c r="L154" s="49" t="inlineStr">
        <is>
          <t>12/03/2000</t>
        </is>
      </c>
      <c r="M154" s="49" t="inlineStr">
        <is>
          <t xml:space="preserve">SUPIA                         </t>
        </is>
      </c>
      <c r="N154" s="49" t="inlineStr">
        <is>
          <t xml:space="preserve">0                   </t>
        </is>
      </c>
      <c r="O154" s="49" t="inlineStr">
        <is>
          <t>3196717235</t>
        </is>
      </c>
      <c r="P154" s="49" t="inlineStr">
        <is>
          <t>VDA OBISPO</t>
        </is>
      </c>
      <c r="Q154" s="49" t="inlineStr">
        <is>
          <t>yelerihe00@gmail.com</t>
        </is>
      </c>
      <c r="R154" s="49" t="inlineStr">
        <is>
          <t>ANALISTA GESTIÓN PREDIAL</t>
        </is>
      </c>
      <c r="S154" s="108" t="n">
        <v>91.66666600000001</v>
      </c>
      <c r="T154" s="108" t="n">
        <v>0</v>
      </c>
      <c r="U154" s="108" t="n">
        <v>220</v>
      </c>
      <c r="V154" s="49" t="inlineStr">
        <is>
          <t>CONSIG. CTA AHORROS</t>
        </is>
      </c>
      <c r="W154" s="49" t="inlineStr">
        <is>
          <t xml:space="preserve">BANCO DAVIVIENDA S.A.         </t>
        </is>
      </c>
      <c r="X154" s="49" t="inlineStr">
        <is>
          <t xml:space="preserve">0550488446689058         </t>
        </is>
      </c>
      <c r="Y154" s="49" t="inlineStr">
        <is>
          <t xml:space="preserve">NO APLICA                     </t>
        </is>
      </c>
      <c r="Z154" s="49" t="inlineStr">
        <is>
          <t>CM0603-LEG</t>
        </is>
      </c>
      <c r="AA154" s="49" t="inlineStr">
        <is>
          <t>CM0603-LEG</t>
        </is>
      </c>
      <c r="AB154" s="49" t="inlineStr">
        <is>
          <t xml:space="preserve">01 </t>
        </is>
      </c>
      <c r="AC154" s="49" t="inlineStr">
        <is>
          <t xml:space="preserve">                </t>
        </is>
      </c>
      <c r="AD154" s="49" t="inlineStr">
        <is>
          <t>LEY 50</t>
        </is>
      </c>
      <c r="AE154" s="49" t="inlineStr">
        <is>
          <t>No</t>
        </is>
      </c>
      <c r="AF154" s="49" t="inlineStr">
        <is>
          <t>Normal</t>
        </is>
      </c>
      <c r="AG154" s="49" t="n"/>
      <c r="AH154" s="49" t="inlineStr">
        <is>
          <t>Si</t>
        </is>
      </c>
      <c r="AI154" s="49" t="inlineStr">
        <is>
          <t xml:space="preserve">Normal              </t>
        </is>
      </c>
      <c r="AJ154" s="49" t="inlineStr">
        <is>
          <t xml:space="preserve">Quincenal                     </t>
        </is>
      </c>
      <c r="AK154" s="49" t="inlineStr">
        <is>
          <t>NO</t>
        </is>
      </c>
      <c r="AL154" s="49" t="inlineStr">
        <is>
          <t>NO</t>
        </is>
      </c>
      <c r="AM154" s="49" t="inlineStr">
        <is>
          <t>18/11/2024</t>
        </is>
      </c>
      <c r="AN154" s="49" t="n"/>
      <c r="AO154" s="49" t="n"/>
      <c r="AP154" s="49" t="inlineStr">
        <is>
          <t xml:space="preserve">NO APLICA                </t>
        </is>
      </c>
      <c r="AQ154" s="49" t="n">
        <v>152</v>
      </c>
      <c r="AR154" s="49" t="inlineStr">
        <is>
          <t>01</t>
        </is>
      </c>
      <c r="AS154" s="49" t="n">
        <v>1</v>
      </c>
      <c r="AT154" s="49" t="inlineStr">
        <is>
          <t>No</t>
        </is>
      </c>
      <c r="AU154" s="49" t="n">
        <v>0</v>
      </c>
      <c r="AV154" s="108" t="n">
        <v>0</v>
      </c>
      <c r="AW154" s="108" t="n">
        <v>0</v>
      </c>
      <c r="AX154" s="108" t="n">
        <v>0</v>
      </c>
      <c r="AY154" s="49" t="inlineStr">
        <is>
          <t>No</t>
        </is>
      </c>
      <c r="AZ154" s="49" t="n">
        <v>61343</v>
      </c>
      <c r="BA154" s="49" t="inlineStr">
        <is>
          <t>NUEVA E.P.S</t>
        </is>
      </c>
      <c r="BB154" s="49" t="inlineStr">
        <is>
          <t>PROTECCION A.F.P</t>
        </is>
      </c>
      <c r="BC154" s="49" t="inlineStr">
        <is>
          <t>CCF DE CALDAS</t>
        </is>
      </c>
      <c r="BD154" s="49" t="inlineStr">
        <is>
          <t>RIESGOS PROFESIONALES COLMENA S.A.</t>
        </is>
      </c>
      <c r="BE154" s="49" t="inlineStr">
        <is>
          <t>PROTECCION CESANTIAS</t>
        </is>
      </c>
      <c r="BF154" s="49" t="n">
        <v>6.96</v>
      </c>
      <c r="BG154" s="49" t="n">
        <v>220</v>
      </c>
      <c r="BH154" s="49" t="n">
        <v>15</v>
      </c>
      <c r="BI154" s="49" t="inlineStr">
        <is>
          <t xml:space="preserve">0           </t>
        </is>
      </c>
      <c r="BJ154" s="49" t="inlineStr">
        <is>
          <t xml:space="preserve">NO APLICA                               </t>
        </is>
      </c>
      <c r="BK154" s="49" t="inlineStr">
        <is>
          <t>02</t>
        </is>
      </c>
      <c r="BL154" s="49" t="inlineStr">
        <is>
          <t xml:space="preserve">Caldas                                  </t>
        </is>
      </c>
      <c r="BM154" s="49" t="inlineStr">
        <is>
          <t>02</t>
        </is>
      </c>
      <c r="BN154" s="49" t="inlineStr">
        <is>
          <t xml:space="preserve">Supia                                   </t>
        </is>
      </c>
      <c r="BO154" s="49" t="inlineStr">
        <is>
          <t>0</t>
        </is>
      </c>
      <c r="BP154" s="49" t="inlineStr">
        <is>
          <t>NO APLICA</t>
        </is>
      </c>
      <c r="BQ154" s="49" t="inlineStr">
        <is>
          <t>0</t>
        </is>
      </c>
      <c r="BR154" s="49" t="inlineStr">
        <is>
          <t>NO APLICA</t>
        </is>
      </c>
      <c r="BS154" s="49" t="inlineStr">
        <is>
          <t>0</t>
        </is>
      </c>
      <c r="BT154" s="49" t="inlineStr">
        <is>
          <t>NO APLICA</t>
        </is>
      </c>
      <c r="BU154" s="49" t="inlineStr">
        <is>
          <t>0</t>
        </is>
      </c>
      <c r="BV154" s="49" t="inlineStr">
        <is>
          <t>NO APLICA</t>
        </is>
      </c>
      <c r="BW154" s="49" t="inlineStr">
        <is>
          <t>No</t>
        </is>
      </c>
      <c r="BX154" s="49" t="inlineStr">
        <is>
          <t xml:space="preserve">No Aplica                     </t>
        </is>
      </c>
    </row>
    <row r="155" ht="22.5" customHeight="1">
      <c r="A155" s="49" t="n">
        <v>1007694183</v>
      </c>
      <c r="B155" s="49" t="inlineStr">
        <is>
          <t>025</t>
        </is>
      </c>
      <c r="C155" s="49" t="n">
        <v>1007694183</v>
      </c>
      <c r="D155" s="49" t="inlineStr">
        <is>
          <t>CC</t>
        </is>
      </c>
      <c r="E155" s="49" t="inlineStr">
        <is>
          <t>BAÑOL TAPASCO YEISON ESTIVEN</t>
        </is>
      </c>
      <c r="F155" s="49" t="inlineStr">
        <is>
          <t>M</t>
        </is>
      </c>
      <c r="G155" s="49" t="inlineStr">
        <is>
          <t xml:space="preserve">O  </t>
        </is>
      </c>
      <c r="H155" s="49" t="inlineStr">
        <is>
          <t>+</t>
        </is>
      </c>
      <c r="I155" s="49" t="inlineStr">
        <is>
          <t>SOLTERO</t>
        </is>
      </c>
      <c r="J155" s="49" t="inlineStr">
        <is>
          <t xml:space="preserve">SUPIA                         </t>
        </is>
      </c>
      <c r="K155" s="49" t="n">
        <v>0</v>
      </c>
      <c r="L155" s="49" t="inlineStr">
        <is>
          <t>16/08/2001</t>
        </is>
      </c>
      <c r="M155" s="49" t="inlineStr">
        <is>
          <t xml:space="preserve">MARMATO                       </t>
        </is>
      </c>
      <c r="N155" s="49" t="inlineStr">
        <is>
          <t xml:space="preserve">6590702             </t>
        </is>
      </c>
      <c r="O155" s="49" t="inlineStr">
        <is>
          <t>3226590702</t>
        </is>
      </c>
      <c r="P155" s="49" t="inlineStr">
        <is>
          <t>VDA SAN MARCOS</t>
        </is>
      </c>
      <c r="Q155" s="49" t="inlineStr">
        <is>
          <t>yeison9945@gmail.com</t>
        </is>
      </c>
      <c r="R155" s="49" t="inlineStr">
        <is>
          <t>AUXILIAR DE EXPLORACIÓN</t>
        </is>
      </c>
      <c r="S155" s="108" t="n">
        <v>91.66666600000001</v>
      </c>
      <c r="T155" s="108" t="n">
        <v>0</v>
      </c>
      <c r="U155" s="108" t="n">
        <v>220</v>
      </c>
      <c r="V155" s="49" t="inlineStr">
        <is>
          <t>CONSIG. CTA AHORROS</t>
        </is>
      </c>
      <c r="W155" s="49" t="inlineStr">
        <is>
          <t xml:space="preserve">BANCO DAVIVIENDA S.A.         </t>
        </is>
      </c>
      <c r="X155" s="49" t="inlineStr">
        <is>
          <t xml:space="preserve">488430090180             </t>
        </is>
      </c>
      <c r="Y155" s="49" t="inlineStr">
        <is>
          <t xml:space="preserve">NO APLICA                     </t>
        </is>
      </c>
      <c r="Z155" s="49" t="inlineStr">
        <is>
          <t>CM0100-EXP</t>
        </is>
      </c>
      <c r="AA155" s="49" t="inlineStr">
        <is>
          <t>CM0100-EXP</t>
        </is>
      </c>
      <c r="AB155" s="49" t="inlineStr">
        <is>
          <t xml:space="preserve">01 </t>
        </is>
      </c>
      <c r="AC155" s="49" t="inlineStr">
        <is>
          <t xml:space="preserve">0               </t>
        </is>
      </c>
      <c r="AD155" s="49" t="inlineStr">
        <is>
          <t>LEY 50</t>
        </is>
      </c>
      <c r="AE155" s="49" t="inlineStr">
        <is>
          <t>Si</t>
        </is>
      </c>
      <c r="AF155" s="49" t="inlineStr">
        <is>
          <t>Normal</t>
        </is>
      </c>
      <c r="AG155" s="49" t="n"/>
      <c r="AH155" s="49" t="inlineStr">
        <is>
          <t>Si</t>
        </is>
      </c>
      <c r="AI155" s="49" t="inlineStr">
        <is>
          <t xml:space="preserve">Normal              </t>
        </is>
      </c>
      <c r="AJ155" s="49" t="inlineStr">
        <is>
          <t xml:space="preserve">Quincenal                     </t>
        </is>
      </c>
      <c r="AK155" s="49" t="inlineStr">
        <is>
          <t>NO</t>
        </is>
      </c>
      <c r="AL155" s="49" t="inlineStr">
        <is>
          <t>NO</t>
        </is>
      </c>
      <c r="AM155" s="49" t="inlineStr">
        <is>
          <t>16/05/2022</t>
        </is>
      </c>
      <c r="AN155" s="49" t="n"/>
      <c r="AO155" s="49" t="n"/>
      <c r="AP155" s="49" t="inlineStr">
        <is>
          <t xml:space="preserve">NO APLICA                </t>
        </is>
      </c>
      <c r="AQ155" s="49" t="n">
        <v>11</v>
      </c>
      <c r="AR155" s="49" t="inlineStr">
        <is>
          <t>03</t>
        </is>
      </c>
      <c r="AS155" s="49" t="n">
        <v>1</v>
      </c>
      <c r="AT155" s="49" t="inlineStr">
        <is>
          <t>Si</t>
        </is>
      </c>
      <c r="AU155" s="49" t="n">
        <v>0</v>
      </c>
      <c r="AV155" s="108" t="n">
        <v>0</v>
      </c>
      <c r="AW155" s="108" t="n">
        <v>0</v>
      </c>
      <c r="AX155" s="108" t="n">
        <v>0</v>
      </c>
      <c r="AY155" s="49" t="inlineStr">
        <is>
          <t>No</t>
        </is>
      </c>
      <c r="AZ155" s="49" t="n">
        <v>63919</v>
      </c>
      <c r="BA155" s="49" t="inlineStr">
        <is>
          <t>SALUD TOTAL E.P.S.</t>
        </is>
      </c>
      <c r="BB155" s="49" t="inlineStr">
        <is>
          <t>COLPENSIONES - I.S.S. PENSION</t>
        </is>
      </c>
      <c r="BC155" s="49" t="inlineStr">
        <is>
          <t>CCF DE CALDAS</t>
        </is>
      </c>
      <c r="BD155" s="49" t="inlineStr">
        <is>
          <t>RIESGOS PROFESIONALES COLMENA S.A.</t>
        </is>
      </c>
      <c r="BE155" s="49" t="inlineStr">
        <is>
          <t>PROTECCION CESANTIAS</t>
        </is>
      </c>
      <c r="BF155" s="49" t="n">
        <v>6.96</v>
      </c>
      <c r="BG155" s="49" t="n">
        <v>220</v>
      </c>
      <c r="BH155" s="49" t="n">
        <v>15</v>
      </c>
      <c r="BI155" s="49" t="inlineStr">
        <is>
          <t xml:space="preserve">0           </t>
        </is>
      </c>
      <c r="BJ155" s="49" t="inlineStr">
        <is>
          <t xml:space="preserve">NO APLICA                               </t>
        </is>
      </c>
      <c r="BK155" s="49" t="inlineStr">
        <is>
          <t>02</t>
        </is>
      </c>
      <c r="BL155" s="49" t="inlineStr">
        <is>
          <t xml:space="preserve">Caldas                                  </t>
        </is>
      </c>
      <c r="BM155" s="49" t="inlineStr">
        <is>
          <t>03</t>
        </is>
      </c>
      <c r="BN155" s="49" t="inlineStr">
        <is>
          <t xml:space="preserve">Marmato                                 </t>
        </is>
      </c>
      <c r="BO155" s="49" t="inlineStr">
        <is>
          <t>0</t>
        </is>
      </c>
      <c r="BP155" s="49" t="inlineStr">
        <is>
          <t>NO APLICA</t>
        </is>
      </c>
      <c r="BQ155" s="49" t="inlineStr">
        <is>
          <t>0</t>
        </is>
      </c>
      <c r="BR155" s="49" t="inlineStr">
        <is>
          <t>NO APLICA</t>
        </is>
      </c>
      <c r="BS155" s="49" t="inlineStr">
        <is>
          <t>0</t>
        </is>
      </c>
      <c r="BT155" s="49" t="inlineStr">
        <is>
          <t>NO APLICA</t>
        </is>
      </c>
      <c r="BU155" s="49" t="inlineStr">
        <is>
          <t>0</t>
        </is>
      </c>
      <c r="BV155" s="49" t="inlineStr">
        <is>
          <t>NO APLICA</t>
        </is>
      </c>
      <c r="BW155" s="49" t="inlineStr">
        <is>
          <t>No</t>
        </is>
      </c>
      <c r="BX155" s="49" t="inlineStr">
        <is>
          <t xml:space="preserve">No Aplica                     </t>
        </is>
      </c>
    </row>
    <row r="156" ht="22.5" customHeight="1">
      <c r="A156" s="49" t="n">
        <v>1007808097</v>
      </c>
      <c r="B156" s="49" t="inlineStr">
        <is>
          <t xml:space="preserve"> 143</t>
        </is>
      </c>
      <c r="C156" s="49" t="n">
        <v>1007808097</v>
      </c>
      <c r="D156" s="49" t="inlineStr">
        <is>
          <t>CC</t>
        </is>
      </c>
      <c r="E156" s="49" t="inlineStr">
        <is>
          <t>CHALARCA GARCIA KEVIN GIOVANY</t>
        </is>
      </c>
      <c r="F156" s="49" t="inlineStr">
        <is>
          <t>M</t>
        </is>
      </c>
      <c r="G156" s="49" t="inlineStr">
        <is>
          <t xml:space="preserve">A  </t>
        </is>
      </c>
      <c r="H156" s="49" t="inlineStr">
        <is>
          <t>+</t>
        </is>
      </c>
      <c r="I156" s="49" t="inlineStr">
        <is>
          <t>SOLTERO</t>
        </is>
      </c>
      <c r="J156" s="49" t="inlineStr">
        <is>
          <t xml:space="preserve">SUPIA                         </t>
        </is>
      </c>
      <c r="K156" s="49" t="n">
        <v>0</v>
      </c>
      <c r="L156" s="49" t="inlineStr">
        <is>
          <t>16/07/2020</t>
        </is>
      </c>
      <c r="M156" s="49" t="inlineStr">
        <is>
          <t xml:space="preserve">SUPIA                         </t>
        </is>
      </c>
      <c r="N156" s="49" t="inlineStr">
        <is>
          <t xml:space="preserve">0000                </t>
        </is>
      </c>
      <c r="O156" s="49" t="inlineStr">
        <is>
          <t>3222359998</t>
        </is>
      </c>
      <c r="P156" s="49" t="inlineStr">
        <is>
          <t>Cr 8 A  23 48 AP 3</t>
        </is>
      </c>
      <c r="Q156" s="49" t="inlineStr">
        <is>
          <t>chalarcakevin@gmail.com</t>
        </is>
      </c>
      <c r="R156" s="49" t="inlineStr">
        <is>
          <t>AUXILIAR DE EXPLORACIÓN</t>
        </is>
      </c>
      <c r="S156" s="108" t="n">
        <v>91.66666600000001</v>
      </c>
      <c r="T156" s="108" t="n">
        <v>0</v>
      </c>
      <c r="U156" s="108" t="n">
        <v>220</v>
      </c>
      <c r="V156" s="49" t="inlineStr">
        <is>
          <t>CONSIG. CTA AHORROS</t>
        </is>
      </c>
      <c r="W156" s="49" t="inlineStr">
        <is>
          <t xml:space="preserve">BANCO DAVIVIENDA S.A.         </t>
        </is>
      </c>
      <c r="X156" s="49" t="inlineStr">
        <is>
          <t xml:space="preserve">550488440536008          </t>
        </is>
      </c>
      <c r="Y156" s="49" t="inlineStr">
        <is>
          <t xml:space="preserve">NO APLICA                     </t>
        </is>
      </c>
      <c r="Z156" s="49" t="inlineStr">
        <is>
          <t>CM0100-EXP</t>
        </is>
      </c>
      <c r="AA156" s="49" t="inlineStr">
        <is>
          <t>CM0100-EXP</t>
        </is>
      </c>
      <c r="AB156" s="49" t="inlineStr">
        <is>
          <t xml:space="preserve">01 </t>
        </is>
      </c>
      <c r="AC156" s="49" t="inlineStr">
        <is>
          <t xml:space="preserve">                </t>
        </is>
      </c>
      <c r="AD156" s="49" t="inlineStr">
        <is>
          <t>LEY 50</t>
        </is>
      </c>
      <c r="AE156" s="49" t="inlineStr">
        <is>
          <t>No</t>
        </is>
      </c>
      <c r="AF156" s="49" t="inlineStr">
        <is>
          <t>Normal</t>
        </is>
      </c>
      <c r="AG156" s="49" t="n"/>
      <c r="AH156" s="49" t="inlineStr">
        <is>
          <t>Si</t>
        </is>
      </c>
      <c r="AI156" s="49" t="inlineStr">
        <is>
          <t xml:space="preserve">Normal              </t>
        </is>
      </c>
      <c r="AJ156" s="49" t="inlineStr">
        <is>
          <t xml:space="preserve">Quincenal                     </t>
        </is>
      </c>
      <c r="AK156" s="49" t="inlineStr">
        <is>
          <t>NO</t>
        </is>
      </c>
      <c r="AL156" s="49" t="inlineStr">
        <is>
          <t>NO</t>
        </is>
      </c>
      <c r="AM156" s="49" t="inlineStr">
        <is>
          <t>06/10/2025</t>
        </is>
      </c>
      <c r="AN156" s="49" t="n"/>
      <c r="AO156" s="49" t="n"/>
      <c r="AP156" s="49" t="inlineStr">
        <is>
          <t xml:space="preserve">NO APLICA                </t>
        </is>
      </c>
      <c r="AQ156" s="49" t="n">
        <v>202</v>
      </c>
      <c r="AR156" s="49" t="inlineStr">
        <is>
          <t>01</t>
        </is>
      </c>
      <c r="AS156" s="49" t="n">
        <v>1</v>
      </c>
      <c r="AT156" s="49" t="inlineStr">
        <is>
          <t>No</t>
        </is>
      </c>
      <c r="AU156" s="49" t="n">
        <v>0</v>
      </c>
      <c r="AV156" s="108" t="n">
        <v>0</v>
      </c>
      <c r="AW156" s="108" t="n">
        <v>0</v>
      </c>
      <c r="AX156" s="108" t="n">
        <v>0</v>
      </c>
      <c r="AY156" s="49" t="inlineStr">
        <is>
          <t>No</t>
        </is>
      </c>
      <c r="AZ156" s="49" t="n">
        <v>0</v>
      </c>
      <c r="BA156" s="49" t="inlineStr">
        <is>
          <t>NUEVA E.P.S</t>
        </is>
      </c>
      <c r="BB156" s="49" t="inlineStr">
        <is>
          <t>PROTECCION A.F.P</t>
        </is>
      </c>
      <c r="BC156" s="49" t="inlineStr">
        <is>
          <t>CCF DE CALDAS</t>
        </is>
      </c>
      <c r="BD156" s="49" t="inlineStr">
        <is>
          <t>RIESGOS PROFESIONALES COLMENA S.A.</t>
        </is>
      </c>
      <c r="BE156" s="49" t="inlineStr">
        <is>
          <t>PROTECCION CESANTIAS</t>
        </is>
      </c>
      <c r="BF156" s="49" t="n">
        <v>6.96</v>
      </c>
      <c r="BG156" s="49" t="n">
        <v>220</v>
      </c>
      <c r="BH156" s="49" t="n">
        <v>15</v>
      </c>
      <c r="BI156" s="49" t="inlineStr">
        <is>
          <t xml:space="preserve">0           </t>
        </is>
      </c>
      <c r="BJ156" s="49" t="inlineStr">
        <is>
          <t xml:space="preserve">NO APLICA                               </t>
        </is>
      </c>
      <c r="BK156" s="49" t="inlineStr">
        <is>
          <t>02</t>
        </is>
      </c>
      <c r="BL156" s="49" t="inlineStr">
        <is>
          <t xml:space="preserve">Caldas                                  </t>
        </is>
      </c>
      <c r="BM156" s="49" t="inlineStr">
        <is>
          <t>02</t>
        </is>
      </c>
      <c r="BN156" s="49" t="inlineStr">
        <is>
          <t xml:space="preserve">Supia                                   </t>
        </is>
      </c>
      <c r="BO156" s="49" t="inlineStr">
        <is>
          <t>0</t>
        </is>
      </c>
      <c r="BP156" s="49" t="inlineStr">
        <is>
          <t>NO APLICA</t>
        </is>
      </c>
      <c r="BQ156" s="49" t="inlineStr">
        <is>
          <t>0</t>
        </is>
      </c>
      <c r="BR156" s="49" t="inlineStr">
        <is>
          <t>NO APLICA</t>
        </is>
      </c>
      <c r="BS156" s="49" t="inlineStr">
        <is>
          <t>0</t>
        </is>
      </c>
      <c r="BT156" s="49" t="inlineStr">
        <is>
          <t>NO APLICA</t>
        </is>
      </c>
      <c r="BU156" s="49" t="inlineStr">
        <is>
          <t>0</t>
        </is>
      </c>
      <c r="BV156" s="49" t="inlineStr">
        <is>
          <t>NO APLICA</t>
        </is>
      </c>
      <c r="BW156" s="49" t="inlineStr">
        <is>
          <t>No</t>
        </is>
      </c>
      <c r="BX156" s="49" t="inlineStr">
        <is>
          <t xml:space="preserve">No Aplica                     </t>
        </is>
      </c>
    </row>
    <row r="157" ht="15" customHeight="1">
      <c r="A157" s="49" t="n">
        <v>1007808107</v>
      </c>
      <c r="B157" s="49" t="inlineStr">
        <is>
          <t>086</t>
        </is>
      </c>
      <c r="C157" s="49" t="n">
        <v>1007808107</v>
      </c>
      <c r="D157" s="49" t="inlineStr">
        <is>
          <t>CC</t>
        </is>
      </c>
      <c r="E157" s="49" t="inlineStr">
        <is>
          <t>LENGUA CALVO CARLOS FERNANDO</t>
        </is>
      </c>
      <c r="F157" s="49" t="inlineStr">
        <is>
          <t>M</t>
        </is>
      </c>
      <c r="G157" s="49" t="inlineStr">
        <is>
          <t xml:space="preserve">A  </t>
        </is>
      </c>
      <c r="H157" s="49" t="inlineStr">
        <is>
          <t>+</t>
        </is>
      </c>
      <c r="I157" s="49" t="inlineStr">
        <is>
          <t>SOLTERO</t>
        </is>
      </c>
      <c r="J157" s="49" t="inlineStr">
        <is>
          <t xml:space="preserve">SUPIA                         </t>
        </is>
      </c>
      <c r="K157" s="49" t="n">
        <v>0</v>
      </c>
      <c r="L157" s="49" t="inlineStr">
        <is>
          <t>04/07/2001</t>
        </is>
      </c>
      <c r="M157" s="49" t="inlineStr">
        <is>
          <t xml:space="preserve">SUPIA                         </t>
        </is>
      </c>
      <c r="N157" s="49" t="inlineStr">
        <is>
          <t xml:space="preserve">0                   </t>
        </is>
      </c>
      <c r="O157" s="49" t="inlineStr">
        <is>
          <t>3106905106</t>
        </is>
      </c>
      <c r="P157" s="49" t="inlineStr">
        <is>
          <t>VDA HOJAS ANCHAS</t>
        </is>
      </c>
      <c r="Q157" s="49" t="inlineStr">
        <is>
          <t>carlosfernandolengua@gmail.com</t>
        </is>
      </c>
      <c r="R157" s="49" t="inlineStr">
        <is>
          <t>AUXILIAR DE EXPLORACIÓN</t>
        </is>
      </c>
      <c r="S157" s="108" t="n">
        <v>91.66666600000001</v>
      </c>
      <c r="T157" s="108" t="n">
        <v>0</v>
      </c>
      <c r="U157" s="108" t="n">
        <v>220</v>
      </c>
      <c r="V157" s="49" t="inlineStr">
        <is>
          <t>CONSIG. CTA AHORROS</t>
        </is>
      </c>
      <c r="W157" s="49" t="inlineStr">
        <is>
          <t xml:space="preserve">BANCOLOMBIA S.A.              </t>
        </is>
      </c>
      <c r="X157" s="49" t="inlineStr">
        <is>
          <t xml:space="preserve">36827432606              </t>
        </is>
      </c>
      <c r="Y157" s="49" t="inlineStr">
        <is>
          <t xml:space="preserve">NO APLICA                     </t>
        </is>
      </c>
      <c r="Z157" s="49" t="inlineStr">
        <is>
          <t>CM0100-EXP</t>
        </is>
      </c>
      <c r="AA157" s="49" t="inlineStr">
        <is>
          <t>CM0100-EXP</t>
        </is>
      </c>
      <c r="AB157" s="49" t="inlineStr">
        <is>
          <t xml:space="preserve">01 </t>
        </is>
      </c>
      <c r="AC157" s="49" t="inlineStr">
        <is>
          <t xml:space="preserve">                </t>
        </is>
      </c>
      <c r="AD157" s="49" t="inlineStr">
        <is>
          <t>LEY 50</t>
        </is>
      </c>
      <c r="AE157" s="49" t="inlineStr">
        <is>
          <t>No</t>
        </is>
      </c>
      <c r="AF157" s="49" t="inlineStr">
        <is>
          <t>Normal</t>
        </is>
      </c>
      <c r="AG157" s="49" t="n"/>
      <c r="AH157" s="49" t="inlineStr">
        <is>
          <t>Si</t>
        </is>
      </c>
      <c r="AI157" s="49" t="inlineStr">
        <is>
          <t xml:space="preserve">Normal              </t>
        </is>
      </c>
      <c r="AJ157" s="49" t="inlineStr">
        <is>
          <t xml:space="preserve">Quincenal                     </t>
        </is>
      </c>
      <c r="AK157" s="49" t="inlineStr">
        <is>
          <t>NO</t>
        </is>
      </c>
      <c r="AL157" s="49" t="inlineStr">
        <is>
          <t>NO</t>
        </is>
      </c>
      <c r="AM157" s="49" t="inlineStr">
        <is>
          <t>08/08/2024</t>
        </is>
      </c>
      <c r="AN157" s="49" t="n"/>
      <c r="AO157" s="49" t="n"/>
      <c r="AP157" s="49" t="inlineStr">
        <is>
          <t xml:space="preserve">NO APLICA                </t>
        </is>
      </c>
      <c r="AQ157" s="49" t="n">
        <v>145</v>
      </c>
      <c r="AR157" s="49" t="inlineStr">
        <is>
          <t>01</t>
        </is>
      </c>
      <c r="AS157" s="49" t="n">
        <v>1</v>
      </c>
      <c r="AT157" s="49" t="inlineStr">
        <is>
          <t>No</t>
        </is>
      </c>
      <c r="AU157" s="49" t="n">
        <v>0</v>
      </c>
      <c r="AV157" s="108" t="n">
        <v>0</v>
      </c>
      <c r="AW157" s="108" t="n">
        <v>0</v>
      </c>
      <c r="AX157" s="108" t="n">
        <v>0</v>
      </c>
      <c r="AY157" s="49" t="inlineStr">
        <is>
          <t>No</t>
        </is>
      </c>
      <c r="AZ157" s="49" t="n">
        <v>61342</v>
      </c>
      <c r="BA157" s="49" t="inlineStr">
        <is>
          <t>SALUD TOTAL E.P.S.</t>
        </is>
      </c>
      <c r="BB157" s="49" t="inlineStr">
        <is>
          <t>PORVENIR A.F.P.</t>
        </is>
      </c>
      <c r="BC157" s="49" t="inlineStr">
        <is>
          <t>CCF DE CALDAS</t>
        </is>
      </c>
      <c r="BD157" s="49" t="inlineStr">
        <is>
          <t>RIESGOS PROFESIONALES COLMENA S.A.</t>
        </is>
      </c>
      <c r="BE157" s="49" t="inlineStr">
        <is>
          <t>PORVENIR CESANTIAS</t>
        </is>
      </c>
      <c r="BF157" s="49" t="n">
        <v>6.96</v>
      </c>
      <c r="BG157" s="49" t="n">
        <v>220</v>
      </c>
      <c r="BH157" s="49" t="n">
        <v>15</v>
      </c>
      <c r="BI157" s="49" t="inlineStr">
        <is>
          <t xml:space="preserve">0           </t>
        </is>
      </c>
      <c r="BJ157" s="49" t="inlineStr">
        <is>
          <t xml:space="preserve">NO APLICA                               </t>
        </is>
      </c>
      <c r="BK157" s="49" t="inlineStr">
        <is>
          <t>02</t>
        </is>
      </c>
      <c r="BL157" s="49" t="inlineStr">
        <is>
          <t xml:space="preserve">Caldas                                  </t>
        </is>
      </c>
      <c r="BM157" s="49" t="inlineStr">
        <is>
          <t>02</t>
        </is>
      </c>
      <c r="BN157" s="49" t="inlineStr">
        <is>
          <t xml:space="preserve">Supia                                   </t>
        </is>
      </c>
      <c r="BO157" s="49" t="inlineStr">
        <is>
          <t>0</t>
        </is>
      </c>
      <c r="BP157" s="49" t="inlineStr">
        <is>
          <t>NO APLICA</t>
        </is>
      </c>
      <c r="BQ157" s="49" t="inlineStr">
        <is>
          <t>0</t>
        </is>
      </c>
      <c r="BR157" s="49" t="inlineStr">
        <is>
          <t>NO APLICA</t>
        </is>
      </c>
      <c r="BS157" s="49" t="inlineStr">
        <is>
          <t>0</t>
        </is>
      </c>
      <c r="BT157" s="49" t="inlineStr">
        <is>
          <t>NO APLICA</t>
        </is>
      </c>
      <c r="BU157" s="49" t="inlineStr">
        <is>
          <t>0</t>
        </is>
      </c>
      <c r="BV157" s="49" t="inlineStr">
        <is>
          <t>NO APLICA</t>
        </is>
      </c>
      <c r="BW157" s="49" t="inlineStr">
        <is>
          <t>No</t>
        </is>
      </c>
      <c r="BX157" s="49" t="inlineStr">
        <is>
          <t xml:space="preserve">No Aplica                     </t>
        </is>
      </c>
    </row>
    <row r="158" hidden="1"/>
  </sheetData>
  <autoFilter ref="A2:BY157"/>
  <pageMargins left="0.7" right="0.7" top="0.75" bottom="0.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CU159"/>
  <sheetViews>
    <sheetView showGridLines="0" topLeftCell="D72" zoomScaleNormal="100" workbookViewId="0">
      <selection activeCell="G78" sqref="G78"/>
    </sheetView>
  </sheetViews>
  <sheetFormatPr baseColWidth="10" defaultColWidth="11.453125" defaultRowHeight="11.5"/>
  <cols>
    <col width="12" customWidth="1" style="78" min="1" max="1"/>
    <col width="11.1796875" customWidth="1" style="78" min="2" max="2"/>
    <col width="36.81640625" customWidth="1" style="79" min="3" max="3"/>
    <col outlineLevel="1" width="9.54296875" customWidth="1" style="78" min="4" max="4"/>
    <col outlineLevel="1" width="26.36328125" customWidth="1" style="78" min="5" max="5"/>
    <col outlineLevel="1" width="13.36328125" customWidth="1" style="78" min="6" max="6"/>
    <col outlineLevel="1" width="18.453125" customWidth="1" style="78" min="7" max="7"/>
    <col outlineLevel="1" width="20.6328125" customWidth="1" style="78" min="8" max="8"/>
    <col width="11.453125" customWidth="1" style="78" min="9" max="9"/>
    <col width="36.1796875" customWidth="1" style="78" min="10" max="10"/>
    <col width="11.453125" customWidth="1" style="78" min="11" max="16384"/>
  </cols>
  <sheetData>
    <row r="1" ht="21" customHeight="1">
      <c r="B1" s="80">
        <f>COUNTA(B5:B167)</f>
        <v/>
      </c>
    </row>
    <row r="2" ht="13.5" customFormat="1" customHeight="1" s="81">
      <c r="B2" s="82" t="inlineStr">
        <is>
          <t>Empleados</t>
        </is>
      </c>
      <c r="C2" s="83" t="inlineStr">
        <is>
          <t>PERSONALES</t>
        </is>
      </c>
      <c r="D2" s="84" t="n"/>
      <c r="E2" s="84" t="n"/>
      <c r="F2" s="84" t="n"/>
      <c r="G2" s="84" t="n"/>
      <c r="H2" s="84" t="n"/>
    </row>
    <row r="3" ht="6.75" customHeight="1"/>
    <row r="4" ht="10" customFormat="1" customHeight="1" s="88">
      <c r="A4" s="85" t="inlineStr">
        <is>
          <t>valor</t>
        </is>
      </c>
      <c r="B4" s="86" t="inlineStr">
        <is>
          <t>Cedula</t>
        </is>
      </c>
      <c r="C4" s="87" t="inlineStr">
        <is>
          <t>Nombre</t>
        </is>
      </c>
      <c r="D4" s="86" t="inlineStr">
        <is>
          <t>tip_tip</t>
        </is>
      </c>
      <c r="E4" s="86" t="inlineStr">
        <is>
          <t>ciudad_expedicion</t>
        </is>
      </c>
      <c r="F4" s="86" t="inlineStr">
        <is>
          <t>Estado Civil</t>
        </is>
      </c>
      <c r="G4" s="86" t="inlineStr">
        <is>
          <t>Fecha Nacimiento</t>
        </is>
      </c>
      <c r="H4" s="86" t="inlineStr">
        <is>
          <t>Ciudad</t>
        </is>
      </c>
      <c r="I4" s="86" t="inlineStr">
        <is>
          <t>Columna1</t>
        </is>
      </c>
      <c r="J4" s="86" t="inlineStr">
        <is>
          <t>Columna2</t>
        </is>
      </c>
    </row>
    <row r="5">
      <c r="A5" s="78">
        <f>VALUE(maestro2[[#This Row],[Cedula]])</f>
        <v/>
      </c>
      <c r="B5" s="49" t="n">
        <v>1007808313</v>
      </c>
      <c r="C5" s="49" t="inlineStr">
        <is>
          <t>HERNANDEZ LARGO JUAN FELIPE</t>
        </is>
      </c>
      <c r="D5" s="89" t="inlineStr">
        <is>
          <t>CC</t>
        </is>
      </c>
      <c r="E5" s="89" t="inlineStr">
        <is>
          <t xml:space="preserve">GUADALUPE                     </t>
        </is>
      </c>
      <c r="F5" s="49" t="inlineStr">
        <is>
          <t>SOLTERO</t>
        </is>
      </c>
      <c r="G5" s="49" t="inlineStr">
        <is>
          <t>12/05/1981</t>
        </is>
      </c>
      <c r="H5" s="49" t="inlineStr">
        <is>
          <t xml:space="preserve">SUPIA                         </t>
        </is>
      </c>
      <c r="J5" s="78" t="inlineStr">
        <is>
          <t>HERNANDEZ LARGO JUAN FELIPE</t>
        </is>
      </c>
    </row>
    <row r="6">
      <c r="A6" s="78">
        <f>VALUE(maestro2[[#This Row],[Cedula]])</f>
        <v/>
      </c>
      <c r="B6" s="49" t="n">
        <v>1017222157</v>
      </c>
      <c r="C6" s="49" t="inlineStr">
        <is>
          <t>LONDONO VALLE SEBASTIAN</t>
        </is>
      </c>
      <c r="D6" s="89" t="inlineStr">
        <is>
          <t>CC</t>
        </is>
      </c>
      <c r="E6" s="89" t="inlineStr">
        <is>
          <t xml:space="preserve">SAN VICENTE DE CHUCURI        </t>
        </is>
      </c>
      <c r="F6" s="49" t="inlineStr">
        <is>
          <t>SOLTERO</t>
        </is>
      </c>
      <c r="G6" s="49" t="inlineStr">
        <is>
          <t>20/12/1982</t>
        </is>
      </c>
      <c r="H6" s="49" t="inlineStr">
        <is>
          <t xml:space="preserve">SUPIA                         </t>
        </is>
      </c>
      <c r="J6" s="78" t="inlineStr">
        <is>
          <t>LONDONO VALLE SEBASTIAN</t>
        </is>
      </c>
    </row>
    <row r="7">
      <c r="A7" s="78">
        <f>VALUE(maestro2[[#This Row],[Cedula]])</f>
        <v/>
      </c>
      <c r="B7" s="49" t="n">
        <v>10276733</v>
      </c>
      <c r="C7" s="49" t="inlineStr">
        <is>
          <t>GRANADA VALENCIA JAIME</t>
        </is>
      </c>
      <c r="D7" s="89" t="inlineStr">
        <is>
          <t>CC</t>
        </is>
      </c>
      <c r="E7" s="89" t="inlineStr">
        <is>
          <t xml:space="preserve">BUCARAMANGA                   </t>
        </is>
      </c>
      <c r="F7" s="49" t="inlineStr">
        <is>
          <t>CASADO</t>
        </is>
      </c>
      <c r="G7" s="49" t="inlineStr">
        <is>
          <t>03/10/1977</t>
        </is>
      </c>
      <c r="H7" s="49" t="inlineStr">
        <is>
          <t xml:space="preserve">BOGOTA                        </t>
        </is>
      </c>
      <c r="J7" s="78" t="inlineStr">
        <is>
          <t>GRANADA VALENCIA JAIME</t>
        </is>
      </c>
    </row>
    <row r="8">
      <c r="A8" s="78">
        <f>VALUE(maestro2[[#This Row],[Cedula]])</f>
        <v/>
      </c>
      <c r="B8" s="49" t="n">
        <v>1027885783</v>
      </c>
      <c r="C8" s="49" t="inlineStr">
        <is>
          <t>RENDON HOYOS VICTOR ALEJANDRO</t>
        </is>
      </c>
      <c r="D8" s="89" t="inlineStr">
        <is>
          <t>CC</t>
        </is>
      </c>
      <c r="E8" s="89" t="inlineStr">
        <is>
          <t xml:space="preserve">BUCARAMANGA                   </t>
        </is>
      </c>
      <c r="F8" s="49" t="inlineStr">
        <is>
          <t>DESCONOCIDO</t>
        </is>
      </c>
      <c r="G8" s="49" t="inlineStr">
        <is>
          <t>12/11/1983</t>
        </is>
      </c>
      <c r="H8" s="49" t="inlineStr">
        <is>
          <t xml:space="preserve">MEDELLÍN                      </t>
        </is>
      </c>
      <c r="J8" s="78" t="inlineStr">
        <is>
          <t>RENDON HOYOS VICTOR ALEJANDRO</t>
        </is>
      </c>
    </row>
    <row r="9">
      <c r="A9" s="78">
        <f>VALUE(maestro2[[#This Row],[Cedula]])</f>
        <v/>
      </c>
      <c r="B9" s="49" t="n">
        <v>1033340485</v>
      </c>
      <c r="C9" s="49" t="inlineStr">
        <is>
          <t>ARISMENDY AGUDELO ALEJANDRA</t>
        </is>
      </c>
      <c r="D9" s="89" t="inlineStr">
        <is>
          <t>CC</t>
        </is>
      </c>
      <c r="E9" s="89" t="inlineStr">
        <is>
          <t>OSORIO DIAZ</t>
        </is>
      </c>
      <c r="F9" s="49" t="inlineStr">
        <is>
          <t>DESCONOCIDO</t>
        </is>
      </c>
      <c r="G9" s="49" t="inlineStr">
        <is>
          <t>04/04/1982</t>
        </is>
      </c>
      <c r="H9" s="49" t="inlineStr">
        <is>
          <t xml:space="preserve">SUPIA                         </t>
        </is>
      </c>
      <c r="J9" s="78" t="inlineStr">
        <is>
          <t>ARISMENDY AGUDELO ALEJANDRA</t>
        </is>
      </c>
    </row>
    <row r="10">
      <c r="A10" s="78">
        <f>VALUE(maestro2[[#This Row],[Cedula]])</f>
        <v/>
      </c>
      <c r="B10" s="49" t="n">
        <v>1034776899</v>
      </c>
      <c r="C10" s="49" t="inlineStr">
        <is>
          <t>LADINO GONZALEZ CAMILO ANDRES</t>
        </is>
      </c>
      <c r="D10" s="89" t="inlineStr">
        <is>
          <t>CC</t>
        </is>
      </c>
      <c r="E10" s="89" t="inlineStr">
        <is>
          <t xml:space="preserve">SAN GIL                       </t>
        </is>
      </c>
      <c r="F10" s="49" t="inlineStr">
        <is>
          <t>SOLTERO</t>
        </is>
      </c>
      <c r="G10" s="49" t="inlineStr">
        <is>
          <t>01/04/1979</t>
        </is>
      </c>
      <c r="H10" s="49" t="inlineStr">
        <is>
          <t xml:space="preserve">MEDELLÍN                      </t>
        </is>
      </c>
      <c r="J10" s="78" t="inlineStr">
        <is>
          <t>LADINO GONZALEZ CAMILO ANDRES</t>
        </is>
      </c>
    </row>
    <row r="11">
      <c r="A11" s="78">
        <f>VALUE(maestro2[[#This Row],[Cedula]])</f>
        <v/>
      </c>
      <c r="B11" s="49" t="n">
        <v>1034986488</v>
      </c>
      <c r="C11" s="49" t="inlineStr">
        <is>
          <t>CALLE PALMETT JUAN ESTEBAN</t>
        </is>
      </c>
      <c r="D11" s="89" t="inlineStr">
        <is>
          <t>CC</t>
        </is>
      </c>
      <c r="E11" s="89" t="inlineStr">
        <is>
          <t xml:space="preserve">SAN ONOFRE                    </t>
        </is>
      </c>
      <c r="F11" s="49" t="inlineStr">
        <is>
          <t>UNION LIBRE</t>
        </is>
      </c>
      <c r="G11" s="49" t="inlineStr">
        <is>
          <t>12/04/1984</t>
        </is>
      </c>
      <c r="H11" s="49" t="inlineStr">
        <is>
          <t xml:space="preserve">MEDELLÍN                      </t>
        </is>
      </c>
      <c r="J11" s="78" t="e">
        <v>#N/A</v>
      </c>
    </row>
    <row r="12">
      <c r="A12" s="78">
        <f>VALUE(maestro2[[#This Row],[Cedula]])</f>
        <v/>
      </c>
      <c r="B12" s="49" t="n">
        <v>1035871844</v>
      </c>
      <c r="C12" s="49" t="inlineStr">
        <is>
          <t>MEJIA OSORIO MANUELA</t>
        </is>
      </c>
      <c r="D12" s="89" t="inlineStr">
        <is>
          <t>CC</t>
        </is>
      </c>
      <c r="E12" s="89" t="inlineStr">
        <is>
          <t xml:space="preserve">SAN ONOFRE                    </t>
        </is>
      </c>
      <c r="F12" s="49" t="inlineStr">
        <is>
          <t>CASADO</t>
        </is>
      </c>
      <c r="G12" s="49" t="inlineStr">
        <is>
          <t>22/02/1983</t>
        </is>
      </c>
      <c r="H12" s="49" t="inlineStr">
        <is>
          <t xml:space="preserve">MEDELLÍN                      </t>
        </is>
      </c>
      <c r="J12" s="78" t="inlineStr">
        <is>
          <t>MEJIA OSORIO MANUELA</t>
        </is>
      </c>
    </row>
    <row r="13">
      <c r="A13" s="78">
        <f>VALUE(maestro2[[#This Row],[Cedula]])</f>
        <v/>
      </c>
      <c r="B13" s="49" t="n">
        <v>1036625005</v>
      </c>
      <c r="C13" s="49" t="inlineStr">
        <is>
          <t>RICO GODOY CATHERINE</t>
        </is>
      </c>
      <c r="D13" s="89" t="inlineStr">
        <is>
          <t>CC</t>
        </is>
      </c>
      <c r="E13" s="89" t="inlineStr">
        <is>
          <t xml:space="preserve">BUCARAMANGA                   </t>
        </is>
      </c>
      <c r="F13" s="49" t="inlineStr">
        <is>
          <t>CASADO</t>
        </is>
      </c>
      <c r="G13" s="49" t="inlineStr">
        <is>
          <t>22/01/1986</t>
        </is>
      </c>
      <c r="H13" s="49" t="inlineStr">
        <is>
          <t xml:space="preserve">MEDELLÍN                      </t>
        </is>
      </c>
      <c r="J13" s="78" t="e">
        <v>#N/A</v>
      </c>
    </row>
    <row r="14">
      <c r="A14" s="78">
        <f>VALUE(maestro2[[#This Row],[Cedula]])</f>
        <v/>
      </c>
      <c r="B14" s="49" t="n">
        <v>1037449092</v>
      </c>
      <c r="C14" s="49" t="inlineStr">
        <is>
          <t>MAZO OLARTE LEIDY SULAY</t>
        </is>
      </c>
      <c r="D14" s="89" t="inlineStr">
        <is>
          <t>CC</t>
        </is>
      </c>
      <c r="E14" s="89" t="inlineStr">
        <is>
          <t xml:space="preserve">MEDELLÍN                      </t>
        </is>
      </c>
      <c r="F14" s="49" t="inlineStr">
        <is>
          <t>CASADO</t>
        </is>
      </c>
      <c r="G14" s="49" t="inlineStr">
        <is>
          <t>21/02/1972</t>
        </is>
      </c>
      <c r="H14" s="49" t="inlineStr">
        <is>
          <t xml:space="preserve">SUPIA                         </t>
        </is>
      </c>
      <c r="J14" s="78" t="inlineStr">
        <is>
          <t>MAZO OLARTE LEIDY SULAY</t>
        </is>
      </c>
    </row>
    <row r="15">
      <c r="A15" s="78">
        <f>VALUE(maestro2[[#This Row],[Cedula]])</f>
        <v/>
      </c>
      <c r="B15" s="49" t="n">
        <v>1037596340</v>
      </c>
      <c r="C15" s="49" t="inlineStr">
        <is>
          <t>MONTOYA POLO CATALINA</t>
        </is>
      </c>
      <c r="D15" s="89" t="inlineStr">
        <is>
          <t>CC</t>
        </is>
      </c>
      <c r="E15" s="89" t="inlineStr">
        <is>
          <t xml:space="preserve">MEDELLÍN                      </t>
        </is>
      </c>
      <c r="F15" s="49" t="inlineStr">
        <is>
          <t>CASADO</t>
        </is>
      </c>
      <c r="G15" s="49" t="inlineStr">
        <is>
          <t>10/11/1975</t>
        </is>
      </c>
      <c r="H15" s="49" t="inlineStr">
        <is>
          <t xml:space="preserve">SUPIA                         </t>
        </is>
      </c>
      <c r="J15" s="78" t="e">
        <v>#N/A</v>
      </c>
    </row>
    <row r="16">
      <c r="A16" s="78">
        <f>VALUE(maestro2[[#This Row],[Cedula]])</f>
        <v/>
      </c>
      <c r="B16" s="49" t="n">
        <v>1037614187</v>
      </c>
      <c r="C16" s="49" t="inlineStr">
        <is>
          <t>AMAYA LOPEZ CAROLINA</t>
        </is>
      </c>
      <c r="D16" s="89" t="inlineStr">
        <is>
          <t>CC</t>
        </is>
      </c>
      <c r="E16" s="89" t="inlineStr">
        <is>
          <t xml:space="preserve">MARMATO                       </t>
        </is>
      </c>
      <c r="F16" s="49" t="inlineStr">
        <is>
          <t>UNION LIBRE</t>
        </is>
      </c>
      <c r="G16" s="49" t="inlineStr">
        <is>
          <t>06/04/1981</t>
        </is>
      </c>
      <c r="H16" s="49" t="inlineStr">
        <is>
          <t xml:space="preserve">SUPIA                         </t>
        </is>
      </c>
      <c r="J16" s="78" t="inlineStr">
        <is>
          <t>AMAYA LOPEZ CAROLINA</t>
        </is>
      </c>
    </row>
    <row r="17">
      <c r="A17" s="78">
        <f>VALUE(maestro2[[#This Row],[Cedula]])</f>
        <v/>
      </c>
      <c r="B17" s="49" t="n">
        <v>1037624001</v>
      </c>
      <c r="C17" s="49" t="inlineStr">
        <is>
          <t>ORTIZ LOPEZ WILMAR ALEXIS</t>
        </is>
      </c>
      <c r="D17" s="89" t="inlineStr">
        <is>
          <t>CC</t>
        </is>
      </c>
      <c r="E17" s="89" t="inlineStr">
        <is>
          <t xml:space="preserve">MEDELLÍN                      </t>
        </is>
      </c>
      <c r="F17" s="49" t="inlineStr">
        <is>
          <t>CASADO</t>
        </is>
      </c>
      <c r="G17" s="49" t="inlineStr">
        <is>
          <t>05/11/1984</t>
        </is>
      </c>
      <c r="H17" s="49" t="inlineStr">
        <is>
          <t xml:space="preserve">SUPIA                         </t>
        </is>
      </c>
      <c r="J17" s="78" t="e">
        <v>#N/A</v>
      </c>
    </row>
    <row r="18">
      <c r="A18" s="78">
        <f>VALUE(maestro2[[#This Row],[Cedula]])</f>
        <v/>
      </c>
      <c r="B18" s="49" t="n">
        <v>1039023530</v>
      </c>
      <c r="C18" s="49" t="inlineStr">
        <is>
          <t>BETANCOURT TAMAYO NESTOR IVAN</t>
        </is>
      </c>
      <c r="D18" s="89" t="inlineStr">
        <is>
          <t>CC</t>
        </is>
      </c>
      <c r="E18" s="89" t="inlineStr">
        <is>
          <t xml:space="preserve">MEDELLÍN                      </t>
        </is>
      </c>
      <c r="F18" s="49" t="inlineStr">
        <is>
          <t>DESCONOCIDO</t>
        </is>
      </c>
      <c r="G18" s="49" t="inlineStr">
        <is>
          <t>07/12/1984</t>
        </is>
      </c>
      <c r="H18" s="49" t="inlineStr">
        <is>
          <t xml:space="preserve">SUPIA                         </t>
        </is>
      </c>
      <c r="J18" s="78" t="e">
        <v>#N/A</v>
      </c>
    </row>
    <row r="19">
      <c r="A19" s="78">
        <f>VALUE(maestro2[[#This Row],[Cedula]])</f>
        <v/>
      </c>
      <c r="B19" s="49" t="n">
        <v>1039198133</v>
      </c>
      <c r="C19" s="49" t="inlineStr">
        <is>
          <t>RAMIREZ OBANDO STIVEN</t>
        </is>
      </c>
      <c r="D19" s="89" t="inlineStr">
        <is>
          <t>CC</t>
        </is>
      </c>
      <c r="E19" s="89" t="inlineStr">
        <is>
          <t xml:space="preserve">CALI                          </t>
        </is>
      </c>
      <c r="F19" s="49" t="inlineStr">
        <is>
          <t>DESCONOCIDO</t>
        </is>
      </c>
      <c r="G19" s="49" t="inlineStr">
        <is>
          <t>31/12/1984</t>
        </is>
      </c>
      <c r="H19" s="49" t="inlineStr">
        <is>
          <t xml:space="preserve">SUPIA                         </t>
        </is>
      </c>
      <c r="J19" s="78" t="inlineStr">
        <is>
          <t>RAMIREZ OBANDO STIVEN</t>
        </is>
      </c>
    </row>
    <row r="20">
      <c r="A20" s="78">
        <f>VALUE(maestro2[[#This Row],[Cedula]])</f>
        <v/>
      </c>
      <c r="B20" s="49" t="n">
        <v>1039462457</v>
      </c>
      <c r="C20" s="49" t="inlineStr">
        <is>
          <t>RAMIREZ ORTIZ DANIELA</t>
        </is>
      </c>
      <c r="D20" s="89" t="inlineStr">
        <is>
          <t>CC</t>
        </is>
      </c>
      <c r="E20" s="89" t="inlineStr">
        <is>
          <t xml:space="preserve">ITUANGO                       </t>
        </is>
      </c>
      <c r="F20" s="49" t="inlineStr">
        <is>
          <t>SOLTERO</t>
        </is>
      </c>
      <c r="G20" s="49" t="inlineStr">
        <is>
          <t>05/08/1985</t>
        </is>
      </c>
      <c r="H20" s="49" t="inlineStr">
        <is>
          <t xml:space="preserve">MANIZALES                     </t>
        </is>
      </c>
      <c r="J20" s="78" t="inlineStr">
        <is>
          <t>RAMIREZ ORTIZ DANIELA</t>
        </is>
      </c>
    </row>
    <row r="21">
      <c r="A21" s="78">
        <f>VALUE(maestro2[[#This Row],[Cedula]])</f>
        <v/>
      </c>
      <c r="B21" s="49" t="n">
        <v>1045046238</v>
      </c>
      <c r="C21" s="49" t="inlineStr">
        <is>
          <t>OSPINA ECHEVERRY ANGELA YULIETH</t>
        </is>
      </c>
      <c r="D21" s="89" t="inlineStr">
        <is>
          <t>CC</t>
        </is>
      </c>
      <c r="E21" s="89" t="inlineStr">
        <is>
          <t xml:space="preserve">BUCARAMANGA                   </t>
        </is>
      </c>
      <c r="F21" s="49" t="inlineStr">
        <is>
          <t>SOLTERO</t>
        </is>
      </c>
      <c r="G21" s="49" t="inlineStr">
        <is>
          <t>09/09/1973</t>
        </is>
      </c>
      <c r="H21" s="49" t="inlineStr">
        <is>
          <t xml:space="preserve">EL ENCANTO                    </t>
        </is>
      </c>
      <c r="J21" s="78" t="e">
        <v>#N/A</v>
      </c>
    </row>
    <row r="22">
      <c r="A22" s="78">
        <f>VALUE(maestro2[[#This Row],[Cedula]])</f>
        <v/>
      </c>
      <c r="B22" s="49" t="n">
        <v>1053764443</v>
      </c>
      <c r="C22" s="49" t="inlineStr">
        <is>
          <t>LOMBANA GOMEZ VALENTINA</t>
        </is>
      </c>
      <c r="D22" s="89" t="inlineStr">
        <is>
          <t>CC</t>
        </is>
      </c>
      <c r="E22" s="89" t="inlineStr">
        <is>
          <t xml:space="preserve">RIONEGRO                      </t>
        </is>
      </c>
      <c r="F22" s="49" t="inlineStr">
        <is>
          <t>UNION LIBRE</t>
        </is>
      </c>
      <c r="G22" s="49" t="inlineStr">
        <is>
          <t>11/12/1976</t>
        </is>
      </c>
      <c r="H22" s="49" t="inlineStr">
        <is>
          <t xml:space="preserve">SUPIA                         </t>
        </is>
      </c>
      <c r="J22" s="78" t="e">
        <v>#N/A</v>
      </c>
    </row>
    <row r="23">
      <c r="A23" s="78">
        <f>VALUE(maestro2[[#This Row],[Cedula]])</f>
        <v/>
      </c>
      <c r="B23" s="49" t="n">
        <v>1053765183</v>
      </c>
      <c r="C23" s="49" t="inlineStr">
        <is>
          <t>VARGAS GONZALEZ NATALIA</t>
        </is>
      </c>
      <c r="D23" s="89" t="inlineStr">
        <is>
          <t>CC</t>
        </is>
      </c>
      <c r="E23" s="89" t="inlineStr">
        <is>
          <t xml:space="preserve">RIOSUCIO                      </t>
        </is>
      </c>
      <c r="F23" s="49" t="inlineStr">
        <is>
          <t>CASADO</t>
        </is>
      </c>
      <c r="G23" s="49" t="inlineStr">
        <is>
          <t>06/12/1980</t>
        </is>
      </c>
      <c r="H23" s="49" t="inlineStr">
        <is>
          <t xml:space="preserve">BOGOTA                        </t>
        </is>
      </c>
      <c r="J23" s="78" t="inlineStr">
        <is>
          <t>VARGAS GONZALEZ NATALIA</t>
        </is>
      </c>
    </row>
    <row r="24">
      <c r="A24" s="78">
        <f>VALUE(maestro2[[#This Row],[Cedula]])</f>
        <v/>
      </c>
      <c r="B24" s="49" t="n">
        <v>1053765412</v>
      </c>
      <c r="C24" s="49" t="inlineStr">
        <is>
          <t>LEON MARULANDA SERGIO ANDRES</t>
        </is>
      </c>
      <c r="D24" s="89" t="inlineStr">
        <is>
          <t>CC</t>
        </is>
      </c>
      <c r="E24" s="89" t="inlineStr">
        <is>
          <t xml:space="preserve">SUPIA                         </t>
        </is>
      </c>
      <c r="F24" s="49" t="inlineStr">
        <is>
          <t>UNION LIBRE</t>
        </is>
      </c>
      <c r="G24" s="49" t="inlineStr">
        <is>
          <t>07/02/1979</t>
        </is>
      </c>
      <c r="H24" s="49" t="inlineStr">
        <is>
          <t xml:space="preserve">SUPIA                         </t>
        </is>
      </c>
      <c r="J24" s="78" t="inlineStr">
        <is>
          <t>LEON MARULANDA SERGIO ANDRES</t>
        </is>
      </c>
    </row>
    <row r="25">
      <c r="A25" s="78">
        <f>VALUE(maestro2[[#This Row],[Cedula]])</f>
        <v/>
      </c>
      <c r="B25" s="49" t="n">
        <v>1053784995</v>
      </c>
      <c r="C25" s="49" t="inlineStr">
        <is>
          <t>RAMIREZ MOSQUERA HENRY ALEXANDER</t>
        </is>
      </c>
      <c r="D25" s="89" t="inlineStr">
        <is>
          <t>CC</t>
        </is>
      </c>
      <c r="E25" s="89" t="inlineStr">
        <is>
          <t xml:space="preserve">SUPIA                         </t>
        </is>
      </c>
      <c r="F25" s="49" t="inlineStr">
        <is>
          <t>DESCONOCIDO</t>
        </is>
      </c>
      <c r="G25" s="49" t="inlineStr">
        <is>
          <t>09/09/1979</t>
        </is>
      </c>
      <c r="H25" s="49" t="inlineStr">
        <is>
          <t xml:space="preserve">SUPIA                         </t>
        </is>
      </c>
      <c r="J25" s="78" t="inlineStr">
        <is>
          <t>RAMIREZ MOSQUERA HENRY ALEXANDER</t>
        </is>
      </c>
    </row>
    <row r="26">
      <c r="A26" s="78">
        <f>VALUE(maestro2[[#This Row],[Cedula]])</f>
        <v/>
      </c>
      <c r="B26" s="49" t="n">
        <v>1053823924</v>
      </c>
      <c r="C26" s="49" t="inlineStr">
        <is>
          <t>ARANGO TRUJILLO MARCELO</t>
        </is>
      </c>
      <c r="D26" s="89" t="inlineStr">
        <is>
          <t>CC</t>
        </is>
      </c>
      <c r="E26" s="89" t="inlineStr">
        <is>
          <t xml:space="preserve">MARMATO                       </t>
        </is>
      </c>
      <c r="F26" s="49" t="inlineStr">
        <is>
          <t>CASADO</t>
        </is>
      </c>
      <c r="G26" s="49" t="inlineStr">
        <is>
          <t>21/05/1983</t>
        </is>
      </c>
      <c r="H26" s="49" t="inlineStr">
        <is>
          <t xml:space="preserve">SUPIA                         </t>
        </is>
      </c>
      <c r="J26" s="78" t="inlineStr">
        <is>
          <t>ARANGO TRUJILLO MARCELO</t>
        </is>
      </c>
    </row>
    <row r="27">
      <c r="A27" s="78">
        <f>VALUE(maestro2[[#This Row],[Cedula]])</f>
        <v/>
      </c>
      <c r="B27" s="49" t="n">
        <v>1053838548</v>
      </c>
      <c r="C27" s="49" t="inlineStr">
        <is>
          <t>OCAMPO SALAZAR LAURA DAYANA</t>
        </is>
      </c>
      <c r="D27" s="89" t="inlineStr">
        <is>
          <t>CC</t>
        </is>
      </c>
      <c r="E27" s="89" t="inlineStr">
        <is>
          <t xml:space="preserve">MANIZALES                     </t>
        </is>
      </c>
      <c r="F27" s="49" t="inlineStr">
        <is>
          <t>SOLTERO</t>
        </is>
      </c>
      <c r="G27" s="49" t="inlineStr">
        <is>
          <t>09/04/1985</t>
        </is>
      </c>
      <c r="H27" s="49" t="inlineStr">
        <is>
          <t xml:space="preserve">SUPIA                         </t>
        </is>
      </c>
      <c r="J27" s="78" t="e">
        <v>#N/A</v>
      </c>
    </row>
    <row r="28">
      <c r="A28" s="78">
        <f>VALUE(maestro2[[#This Row],[Cedula]])</f>
        <v/>
      </c>
      <c r="B28" s="49" t="n">
        <v>1053842239</v>
      </c>
      <c r="C28" s="49" t="inlineStr">
        <is>
          <t>ARICAPA TREJOS VAIRON CAMILO</t>
        </is>
      </c>
      <c r="D28" s="89" t="inlineStr">
        <is>
          <t>CC</t>
        </is>
      </c>
      <c r="E28" s="89" t="inlineStr">
        <is>
          <t xml:space="preserve">MANIZALES                     </t>
        </is>
      </c>
      <c r="F28" s="49" t="inlineStr">
        <is>
          <t>CASADO</t>
        </is>
      </c>
      <c r="G28" s="49" t="inlineStr">
        <is>
          <t>11/11/1973</t>
        </is>
      </c>
      <c r="H28" s="49" t="inlineStr">
        <is>
          <t xml:space="preserve">MEDELLÍN                      </t>
        </is>
      </c>
      <c r="J28" s="78" t="inlineStr">
        <is>
          <t>ARICAPA TREJOS VAIRON CAMILO</t>
        </is>
      </c>
    </row>
    <row r="29">
      <c r="A29" s="78">
        <f>VALUE(maestro2[[#This Row],[Cedula]])</f>
        <v/>
      </c>
      <c r="B29" s="49" t="n">
        <v>1053855982</v>
      </c>
      <c r="C29" s="49" t="inlineStr">
        <is>
          <t>CORDOBA SANCHEZ LAURA</t>
        </is>
      </c>
      <c r="D29" s="89" t="inlineStr">
        <is>
          <t>CC</t>
        </is>
      </c>
      <c r="E29" s="89" t="inlineStr">
        <is>
          <t xml:space="preserve">MANIZALES                     </t>
        </is>
      </c>
      <c r="F29" s="49" t="inlineStr">
        <is>
          <t>SOLTERO</t>
        </is>
      </c>
      <c r="G29" s="49" t="inlineStr">
        <is>
          <t>11/01/2002</t>
        </is>
      </c>
      <c r="H29" s="49" t="inlineStr">
        <is>
          <t xml:space="preserve">SUPIA                         </t>
        </is>
      </c>
      <c r="J29" s="78" t="e">
        <v>#N/A</v>
      </c>
    </row>
    <row r="30">
      <c r="A30" s="78">
        <f>VALUE(maestro2[[#This Row],[Cedula]])</f>
        <v/>
      </c>
      <c r="B30" s="49" t="n">
        <v>1053856093</v>
      </c>
      <c r="C30" s="49" t="inlineStr">
        <is>
          <t>NARANJO CARDENAS PAULA MARIA</t>
        </is>
      </c>
      <c r="D30" s="89" t="inlineStr">
        <is>
          <t>CC</t>
        </is>
      </c>
      <c r="E30" s="89" t="inlineStr">
        <is>
          <t xml:space="preserve">MARMATO                       </t>
        </is>
      </c>
      <c r="F30" s="49" t="inlineStr">
        <is>
          <t>SOLTERO</t>
        </is>
      </c>
      <c r="G30" s="49" t="inlineStr">
        <is>
          <t>23/04/2002</t>
        </is>
      </c>
      <c r="H30" s="49" t="inlineStr">
        <is>
          <t xml:space="preserve">MARMATO                       </t>
        </is>
      </c>
      <c r="J30" s="78" t="inlineStr">
        <is>
          <t>NARANJO CARDENAS PAULA MARIA</t>
        </is>
      </c>
    </row>
    <row r="31">
      <c r="A31" s="78">
        <f>VALUE(maestro2[[#This Row],[Cedula]])</f>
        <v/>
      </c>
      <c r="B31" s="49" t="n">
        <v>1053857485</v>
      </c>
      <c r="C31" s="49" t="inlineStr">
        <is>
          <t>OROZCO RIOS JONATHAN</t>
        </is>
      </c>
      <c r="D31" s="89" t="inlineStr">
        <is>
          <t>CC</t>
        </is>
      </c>
      <c r="E31" s="89" t="inlineStr">
        <is>
          <t xml:space="preserve">SUPIA                         </t>
        </is>
      </c>
      <c r="F31" s="49" t="inlineStr">
        <is>
          <t>SOLTERO</t>
        </is>
      </c>
      <c r="G31" s="49" t="inlineStr">
        <is>
          <t>25/05/2002</t>
        </is>
      </c>
      <c r="H31" s="49" t="inlineStr">
        <is>
          <t xml:space="preserve">SUPIA                         </t>
        </is>
      </c>
      <c r="J31" s="78" t="inlineStr">
        <is>
          <t>OROZCO RIOS JONATHAN</t>
        </is>
      </c>
    </row>
    <row r="32">
      <c r="A32" s="78">
        <f>VALUE(maestro2[[#This Row],[Cedula]])</f>
        <v/>
      </c>
      <c r="B32" s="49" t="n">
        <v>1053868509</v>
      </c>
      <c r="C32" s="49" t="inlineStr">
        <is>
          <t>PARRA MOSQUERA JUAN DIEGO</t>
        </is>
      </c>
      <c r="D32" s="89" t="inlineStr">
        <is>
          <t>CC</t>
        </is>
      </c>
      <c r="E32" s="89" t="inlineStr">
        <is>
          <t xml:space="preserve">MANIZALES                     </t>
        </is>
      </c>
      <c r="F32" s="49" t="inlineStr">
        <is>
          <t>SOLTERO</t>
        </is>
      </c>
      <c r="G32" s="49" t="inlineStr">
        <is>
          <t>22/07/2002</t>
        </is>
      </c>
      <c r="H32" s="49" t="inlineStr">
        <is>
          <t xml:space="preserve">SUPIA                         </t>
        </is>
      </c>
      <c r="J32" s="78" t="e">
        <v>#N/A</v>
      </c>
    </row>
    <row r="33">
      <c r="A33" s="78">
        <f>VALUE(maestro2[[#This Row],[Cedula]])</f>
        <v/>
      </c>
      <c r="B33" s="49" t="n">
        <v>1053871088</v>
      </c>
      <c r="C33" s="49" t="inlineStr">
        <is>
          <t>ALVAREZ HURTADO ANGELA MARCELA</t>
        </is>
      </c>
      <c r="D33" s="89" t="inlineStr">
        <is>
          <t>CC</t>
        </is>
      </c>
      <c r="E33" s="89" t="inlineStr">
        <is>
          <t xml:space="preserve">SUPIA                         </t>
        </is>
      </c>
      <c r="F33" s="49" t="inlineStr">
        <is>
          <t>SOLTERO</t>
        </is>
      </c>
      <c r="G33" s="49" t="inlineStr">
        <is>
          <t>23/12/2002</t>
        </is>
      </c>
      <c r="H33" s="49" t="inlineStr">
        <is>
          <t xml:space="preserve">SUPIA                         </t>
        </is>
      </c>
      <c r="J33" s="78" t="e">
        <v>#N/A</v>
      </c>
    </row>
    <row r="34">
      <c r="A34" s="78">
        <f>VALUE(maestro2[[#This Row],[Cedula]])</f>
        <v/>
      </c>
      <c r="B34" s="49" t="n">
        <v>1053871279</v>
      </c>
      <c r="C34" s="49" t="inlineStr">
        <is>
          <t>LOPEZ GIRALDO MARIANA</t>
        </is>
      </c>
      <c r="D34" s="89" t="inlineStr">
        <is>
          <t>CC</t>
        </is>
      </c>
      <c r="E34" s="89" t="inlineStr">
        <is>
          <t xml:space="preserve">ESPINAL                       </t>
        </is>
      </c>
      <c r="F34" s="49" t="inlineStr">
        <is>
          <t>SOLTERO</t>
        </is>
      </c>
      <c r="G34" s="49" t="inlineStr">
        <is>
          <t>27/10/2003</t>
        </is>
      </c>
      <c r="H34" s="49" t="inlineStr">
        <is>
          <t xml:space="preserve">SUPIA                         </t>
        </is>
      </c>
      <c r="J34" s="78" t="e">
        <v>#N/A</v>
      </c>
    </row>
    <row r="35">
      <c r="A35" s="78">
        <f>VALUE(maestro2[[#This Row],[Cedula]])</f>
        <v/>
      </c>
      <c r="B35" s="49" t="n">
        <v>1053872960</v>
      </c>
      <c r="C35" s="49" t="inlineStr">
        <is>
          <t>RESTREPO RENDON LUISA MARIA</t>
        </is>
      </c>
      <c r="D35" s="89" t="inlineStr">
        <is>
          <t>CC</t>
        </is>
      </c>
      <c r="E35" s="89" t="inlineStr">
        <is>
          <t xml:space="preserve">BUCARAMANGA                   </t>
        </is>
      </c>
      <c r="F35" s="49" t="inlineStr">
        <is>
          <t>SOLTERO</t>
        </is>
      </c>
      <c r="G35" s="49" t="inlineStr">
        <is>
          <t>25/11/1998</t>
        </is>
      </c>
      <c r="H35" s="49" t="inlineStr">
        <is>
          <t xml:space="preserve">SUPIA                         </t>
        </is>
      </c>
      <c r="J35" s="78" t="e">
        <v>#N/A</v>
      </c>
    </row>
    <row r="36">
      <c r="A36" s="78">
        <f>VALUE(maestro2[[#This Row],[Cedula]])</f>
        <v/>
      </c>
      <c r="B36" s="49" t="n">
        <v>1054990613</v>
      </c>
      <c r="C36" s="49" t="inlineStr">
        <is>
          <t>SANTANA PEREZ JULIANA ANDREA</t>
        </is>
      </c>
      <c r="D36" s="89" t="inlineStr">
        <is>
          <t>CC</t>
        </is>
      </c>
      <c r="E36" s="89" t="inlineStr">
        <is>
          <t xml:space="preserve">MEDELLÍN                      </t>
        </is>
      </c>
      <c r="F36" s="49" t="inlineStr">
        <is>
          <t>SOLTERO</t>
        </is>
      </c>
      <c r="G36" s="49" t="inlineStr">
        <is>
          <t>15/08/1999</t>
        </is>
      </c>
      <c r="H36" s="49" t="inlineStr">
        <is>
          <t xml:space="preserve">SUPIA                         </t>
        </is>
      </c>
      <c r="J36" s="78" t="inlineStr">
        <is>
          <t>SANTANA PEREZ JULIANA ANDREA</t>
        </is>
      </c>
    </row>
    <row r="37">
      <c r="A37" s="78">
        <f>VALUE(maestro2[[#This Row],[Cedula]])</f>
        <v/>
      </c>
      <c r="B37" s="49" t="n">
        <v>1054997974</v>
      </c>
      <c r="C37" s="49" t="inlineStr">
        <is>
          <t>GIL JIMENEZ ANYI DAHIANA</t>
        </is>
      </c>
      <c r="D37" s="89" t="inlineStr">
        <is>
          <t>CC</t>
        </is>
      </c>
      <c r="E37" s="89" t="inlineStr">
        <is>
          <t xml:space="preserve">VILLANUEVA                    </t>
        </is>
      </c>
      <c r="F37" s="49" t="inlineStr">
        <is>
          <t>DESCONOCIDO</t>
        </is>
      </c>
      <c r="G37" s="49" t="inlineStr">
        <is>
          <t>04/01/2000</t>
        </is>
      </c>
      <c r="H37" s="49" t="inlineStr">
        <is>
          <t xml:space="preserve">SUPIA                         </t>
        </is>
      </c>
      <c r="J37" s="78" t="e">
        <v>#N/A</v>
      </c>
    </row>
    <row r="38">
      <c r="A38" s="78">
        <f>VALUE(maestro2[[#This Row],[Cedula]])</f>
        <v/>
      </c>
      <c r="B38" s="49" t="n">
        <v>1058228119</v>
      </c>
      <c r="C38" s="49" t="inlineStr">
        <is>
          <t>IZQUIERDO DIAZ MARLON ARTURO</t>
        </is>
      </c>
      <c r="D38" s="89" t="inlineStr">
        <is>
          <t>CC</t>
        </is>
      </c>
      <c r="E38" s="89" t="inlineStr">
        <is>
          <t xml:space="preserve">FRESNO                        </t>
        </is>
      </c>
      <c r="F38" s="49" t="inlineStr">
        <is>
          <t>SOLTERO</t>
        </is>
      </c>
      <c r="G38" s="49" t="inlineStr">
        <is>
          <t>08/04/2002</t>
        </is>
      </c>
      <c r="H38" s="49" t="inlineStr">
        <is>
          <t xml:space="preserve">MARMATO                       </t>
        </is>
      </c>
      <c r="J38" s="78" t="e">
        <v>#N/A</v>
      </c>
    </row>
    <row r="39">
      <c r="A39" s="78">
        <f>VALUE(maestro2[[#This Row],[Cedula]])</f>
        <v/>
      </c>
      <c r="B39" s="49" t="n">
        <v>1058228240</v>
      </c>
      <c r="C39" s="49" t="inlineStr">
        <is>
          <t>VELASQUEZ IZQUIERDO LAURA</t>
        </is>
      </c>
      <c r="D39" s="89" t="inlineStr">
        <is>
          <t>CC</t>
        </is>
      </c>
      <c r="E39" s="89" t="inlineStr">
        <is>
          <t xml:space="preserve">BUCARAMANGA                   </t>
        </is>
      </c>
      <c r="F39" s="49" t="inlineStr">
        <is>
          <t>SOLTERO</t>
        </is>
      </c>
      <c r="G39" s="49" t="inlineStr">
        <is>
          <t>30/04/2002</t>
        </is>
      </c>
      <c r="H39" s="49" t="inlineStr">
        <is>
          <t xml:space="preserve">SUPIA                         </t>
        </is>
      </c>
      <c r="J39" s="78" t="e">
        <v>#N/A</v>
      </c>
    </row>
    <row r="40">
      <c r="A40" s="78">
        <f>VALUE(maestro2[[#This Row],[Cedula]])</f>
        <v/>
      </c>
      <c r="B40" s="49" t="n">
        <v>1058229120</v>
      </c>
      <c r="C40" s="49" t="inlineStr">
        <is>
          <t>MORENO CASTRILLON YANETH ORLANDY</t>
        </is>
      </c>
      <c r="D40" s="89" t="inlineStr">
        <is>
          <t>CC</t>
        </is>
      </c>
      <c r="E40" s="89" t="inlineStr">
        <is>
          <t xml:space="preserve">MEDELLÍN                      </t>
        </is>
      </c>
      <c r="F40" s="49" t="inlineStr">
        <is>
          <t>SOLTERO</t>
        </is>
      </c>
      <c r="G40" s="49" t="inlineStr">
        <is>
          <t>06/11/2002</t>
        </is>
      </c>
      <c r="H40" s="49" t="inlineStr">
        <is>
          <t xml:space="preserve">SUPIA                         </t>
        </is>
      </c>
      <c r="J40" s="78" t="inlineStr">
        <is>
          <t>MORENO CASTRILLON YANETH ORLANDY</t>
        </is>
      </c>
    </row>
    <row r="41">
      <c r="A41" s="78">
        <f>VALUE(maestro2[[#This Row],[Cedula]])</f>
        <v/>
      </c>
      <c r="B41" s="49" t="n">
        <v>1058230681</v>
      </c>
      <c r="C41" s="49" t="inlineStr">
        <is>
          <t>CASTRO ESCOBAR YESMITH VERONICA</t>
        </is>
      </c>
      <c r="D41" s="89" t="inlineStr">
        <is>
          <t>CC</t>
        </is>
      </c>
      <c r="E41" s="89" t="inlineStr">
        <is>
          <t xml:space="preserve">DUITAMA                       </t>
        </is>
      </c>
      <c r="F41" s="49" t="inlineStr">
        <is>
          <t>SOLTERO</t>
        </is>
      </c>
      <c r="G41" s="49" t="inlineStr">
        <is>
          <t>09/10/2001</t>
        </is>
      </c>
      <c r="H41" s="49" t="inlineStr">
        <is>
          <t xml:space="preserve">SUPIA                         </t>
        </is>
      </c>
      <c r="J41" s="78" t="inlineStr">
        <is>
          <t>CASTRO ESCOBAR YESMITH VERONICA</t>
        </is>
      </c>
    </row>
    <row r="42">
      <c r="A42" s="78">
        <f>VALUE(maestro2[[#This Row],[Cedula]])</f>
        <v/>
      </c>
      <c r="B42" s="49" t="n">
        <v>1059694220</v>
      </c>
      <c r="C42" s="49" t="inlineStr">
        <is>
          <t>MONTOYA SOTO MAYERLY ANDREA</t>
        </is>
      </c>
      <c r="D42" s="89" t="inlineStr">
        <is>
          <t>CC</t>
        </is>
      </c>
      <c r="E42" s="89" t="inlineStr">
        <is>
          <t xml:space="preserve">MANIZALES                     </t>
        </is>
      </c>
      <c r="F42" s="49" t="inlineStr">
        <is>
          <t>SOLTERO</t>
        </is>
      </c>
      <c r="G42" s="49" t="inlineStr">
        <is>
          <t>13/12/1999</t>
        </is>
      </c>
      <c r="H42" s="49" t="inlineStr">
        <is>
          <t xml:space="preserve">SUPIA                         </t>
        </is>
      </c>
      <c r="J42" s="78" t="inlineStr">
        <is>
          <t>MONTOYA SOTO MAYERLY ANDREA</t>
        </is>
      </c>
    </row>
    <row r="43">
      <c r="A43" s="78">
        <f>VALUE(maestro2[[#This Row],[Cedula]])</f>
        <v/>
      </c>
      <c r="B43" s="49" t="n">
        <v>1059694771</v>
      </c>
      <c r="C43" s="49" t="inlineStr">
        <is>
          <t>TREJOS DIAZ ANDREA</t>
        </is>
      </c>
      <c r="D43" s="89" t="inlineStr">
        <is>
          <t>CC</t>
        </is>
      </c>
      <c r="E43" s="89" t="inlineStr">
        <is>
          <t xml:space="preserve">CALI                          </t>
        </is>
      </c>
      <c r="F43" s="49" t="inlineStr">
        <is>
          <t>SOLTERO</t>
        </is>
      </c>
      <c r="G43" s="49" t="inlineStr">
        <is>
          <t>11/08/1998</t>
        </is>
      </c>
      <c r="H43" s="49" t="inlineStr">
        <is>
          <t xml:space="preserve">RIOSUCIO                      </t>
        </is>
      </c>
      <c r="J43" s="78" t="inlineStr">
        <is>
          <t>TREJOS DIAZ ANDREA</t>
        </is>
      </c>
    </row>
    <row r="44">
      <c r="A44" s="78">
        <f>VALUE(maestro2[[#This Row],[Cedula]])</f>
        <v/>
      </c>
      <c r="B44" s="49" t="n">
        <v>1059706306</v>
      </c>
      <c r="C44" s="49" t="inlineStr">
        <is>
          <t>MAFLA SOTO CONNY DAYANA</t>
        </is>
      </c>
      <c r="D44" s="89" t="inlineStr">
        <is>
          <t>CC</t>
        </is>
      </c>
      <c r="E44" s="89" t="inlineStr">
        <is>
          <t xml:space="preserve">MANIZALES                     </t>
        </is>
      </c>
      <c r="F44" s="49" t="inlineStr">
        <is>
          <t>SOLTERO</t>
        </is>
      </c>
      <c r="G44" s="49" t="inlineStr">
        <is>
          <t>16/05/2000</t>
        </is>
      </c>
      <c r="H44" s="49" t="inlineStr">
        <is>
          <t xml:space="preserve">SUPIA                         </t>
        </is>
      </c>
      <c r="J44" s="78" t="inlineStr">
        <is>
          <t>MAFLA SOTO CONNY DAYANA</t>
        </is>
      </c>
    </row>
    <row r="45">
      <c r="A45" s="78">
        <f>VALUE(maestro2[[#This Row],[Cedula]])</f>
        <v/>
      </c>
      <c r="B45" s="49" t="n">
        <v>1059710108</v>
      </c>
      <c r="C45" s="49" t="inlineStr">
        <is>
          <t>GAÑAN BUENO JOSE ALBEIRO</t>
        </is>
      </c>
      <c r="D45" s="89" t="inlineStr">
        <is>
          <t>CC</t>
        </is>
      </c>
      <c r="E45" s="89" t="inlineStr">
        <is>
          <t xml:space="preserve">MANIZALES                     </t>
        </is>
      </c>
      <c r="F45" s="49" t="inlineStr">
        <is>
          <t>SOLTERO</t>
        </is>
      </c>
      <c r="G45" s="49" t="inlineStr">
        <is>
          <t>25/09/2000</t>
        </is>
      </c>
      <c r="H45" s="49" t="inlineStr">
        <is>
          <t xml:space="preserve">SUPIA                         </t>
        </is>
      </c>
      <c r="J45" s="78" t="e">
        <v>#N/A</v>
      </c>
    </row>
    <row r="46">
      <c r="A46" s="78">
        <f>VALUE(maestro2[[#This Row],[Cedula]])</f>
        <v/>
      </c>
      <c r="B46" s="49" t="n">
        <v>1059713194</v>
      </c>
      <c r="C46" s="49" t="inlineStr">
        <is>
          <t>DIAZ REYES ANDERSON DAVID</t>
        </is>
      </c>
      <c r="D46" s="89" t="inlineStr">
        <is>
          <t>CC</t>
        </is>
      </c>
      <c r="E46" s="89" t="inlineStr">
        <is>
          <t xml:space="preserve">MANIZALES                     </t>
        </is>
      </c>
      <c r="F46" s="49" t="inlineStr">
        <is>
          <t>SOLTERO</t>
        </is>
      </c>
      <c r="G46" s="49" t="inlineStr">
        <is>
          <t>12/03/2000</t>
        </is>
      </c>
      <c r="H46" s="49" t="inlineStr">
        <is>
          <t xml:space="preserve">SUPIA                         </t>
        </is>
      </c>
      <c r="J46" s="78" t="inlineStr">
        <is>
          <t>DIAZ REYES ANDERSON DAVID</t>
        </is>
      </c>
    </row>
    <row r="47">
      <c r="A47" s="78">
        <f>VALUE(maestro2[[#This Row],[Cedula]])</f>
        <v/>
      </c>
      <c r="B47" s="49" t="n">
        <v>1059713241</v>
      </c>
      <c r="C47" s="49" t="inlineStr">
        <is>
          <t>TAPASCO CHAURRA DAVINSON</t>
        </is>
      </c>
      <c r="D47" s="89" t="inlineStr">
        <is>
          <t>CC</t>
        </is>
      </c>
      <c r="E47" s="89" t="inlineStr">
        <is>
          <t xml:space="preserve">MANIZALES                     </t>
        </is>
      </c>
      <c r="F47" s="49" t="inlineStr">
        <is>
          <t>SOLTERO</t>
        </is>
      </c>
      <c r="G47" s="49" t="inlineStr">
        <is>
          <t>18/08/2001</t>
        </is>
      </c>
      <c r="H47" s="49" t="inlineStr">
        <is>
          <t xml:space="preserve">MARMATO                       </t>
        </is>
      </c>
      <c r="J47" s="78" t="e">
        <v>#N/A</v>
      </c>
    </row>
    <row r="48">
      <c r="A48" s="78">
        <f>VALUE(maestro2[[#This Row],[Cedula]])</f>
        <v/>
      </c>
      <c r="B48" s="49" t="n">
        <v>1059810513</v>
      </c>
      <c r="C48" s="49" t="inlineStr">
        <is>
          <t>GARCIA GALVIS OSCAR ALEJANDRO</t>
        </is>
      </c>
      <c r="D48" s="89" t="inlineStr">
        <is>
          <t>CC</t>
        </is>
      </c>
      <c r="E48" s="89" t="inlineStr">
        <is>
          <t xml:space="preserve">MANIZALES                     </t>
        </is>
      </c>
      <c r="F48" s="49" t="inlineStr">
        <is>
          <t>SOLTERO</t>
        </is>
      </c>
      <c r="G48" s="49" t="inlineStr">
        <is>
          <t>12/04/1998</t>
        </is>
      </c>
      <c r="H48" s="49" t="inlineStr">
        <is>
          <t xml:space="preserve">SUPIA                         </t>
        </is>
      </c>
      <c r="J48" s="78" t="inlineStr">
        <is>
          <t>GARCIA GALVIS OSCAR ALEJANDRO</t>
        </is>
      </c>
    </row>
    <row r="49">
      <c r="A49" s="78">
        <f>VALUE(maestro2[[#This Row],[Cedula]])</f>
        <v/>
      </c>
      <c r="B49" s="49" t="n">
        <v>1059811303</v>
      </c>
      <c r="C49" s="49" t="inlineStr">
        <is>
          <t>CIFUENTES ARIAS JUAN ESTEBAN</t>
        </is>
      </c>
      <c r="D49" s="89" t="inlineStr">
        <is>
          <t>CC</t>
        </is>
      </c>
      <c r="E49" s="89" t="inlineStr">
        <is>
          <t xml:space="preserve">CHINCHINA                     </t>
        </is>
      </c>
      <c r="F49" s="49" t="inlineStr">
        <is>
          <t>SOLTERO</t>
        </is>
      </c>
      <c r="G49" s="49" t="inlineStr">
        <is>
          <t>04/07/2001</t>
        </is>
      </c>
      <c r="H49" s="49" t="inlineStr">
        <is>
          <t xml:space="preserve">SUPIA                         </t>
        </is>
      </c>
      <c r="J49" s="78" t="e">
        <v>#N/A</v>
      </c>
    </row>
    <row r="50">
      <c r="A50" s="78">
        <f>VALUE(maestro2[[#This Row],[Cedula]])</f>
        <v/>
      </c>
      <c r="B50" s="49" t="n">
        <v>1060267953</v>
      </c>
      <c r="C50" s="49" t="inlineStr">
        <is>
          <t>BERMUDEZ SERNA JULIAN DAVID</t>
        </is>
      </c>
      <c r="D50" s="89" t="inlineStr">
        <is>
          <t>CC</t>
        </is>
      </c>
      <c r="E50" s="89" t="inlineStr">
        <is>
          <t xml:space="preserve">BOGOTA                        </t>
        </is>
      </c>
      <c r="F50" s="49" t="inlineStr">
        <is>
          <t>SOLTERO</t>
        </is>
      </c>
      <c r="G50" s="49" t="inlineStr">
        <is>
          <t>29/11/2000</t>
        </is>
      </c>
      <c r="H50" s="49" t="inlineStr">
        <is>
          <t xml:space="preserve">SUPIA                         </t>
        </is>
      </c>
      <c r="J50" s="78" t="e">
        <v>#N/A</v>
      </c>
    </row>
    <row r="51">
      <c r="A51" s="78">
        <f>VALUE(maestro2[[#This Row],[Cedula]])</f>
        <v/>
      </c>
      <c r="B51" s="49" t="n">
        <v>1060587260</v>
      </c>
      <c r="C51" s="49" t="inlineStr">
        <is>
          <t>GUERRERO RODRIGUEZ DARLY VANNESA</t>
        </is>
      </c>
      <c r="D51" s="89" t="inlineStr">
        <is>
          <t>CC</t>
        </is>
      </c>
      <c r="E51" s="89" t="inlineStr">
        <is>
          <t xml:space="preserve">BOGOTA                        </t>
        </is>
      </c>
      <c r="F51" s="49" t="inlineStr">
        <is>
          <t>SOLTERO</t>
        </is>
      </c>
      <c r="G51" s="49" t="inlineStr">
        <is>
          <t>22/07/1994</t>
        </is>
      </c>
      <c r="H51" s="49" t="inlineStr">
        <is>
          <t xml:space="preserve">SUPIA                         </t>
        </is>
      </c>
      <c r="J51" s="78" t="e">
        <v>#N/A</v>
      </c>
    </row>
    <row r="52">
      <c r="A52" s="78">
        <f>VALUE(maestro2[[#This Row],[Cedula]])</f>
        <v/>
      </c>
      <c r="B52" s="49" t="n">
        <v>1060588957</v>
      </c>
      <c r="C52" s="49" t="inlineStr">
        <is>
          <t>ARROYAVE MONTOYA ELIZABETH</t>
        </is>
      </c>
      <c r="D52" s="89" t="inlineStr">
        <is>
          <t>CC</t>
        </is>
      </c>
      <c r="E52" s="89" t="inlineStr">
        <is>
          <t xml:space="preserve">BOGOTA                        </t>
        </is>
      </c>
      <c r="F52" s="49" t="inlineStr">
        <is>
          <t>CASADO</t>
        </is>
      </c>
      <c r="G52" s="49" t="inlineStr">
        <is>
          <t>06/05/1967</t>
        </is>
      </c>
      <c r="H52" s="49" t="inlineStr">
        <is>
          <t xml:space="preserve">SUPIA                         </t>
        </is>
      </c>
      <c r="J52" s="78" t="inlineStr">
        <is>
          <t>ARROYAVE MONTOYA ELIZABETH</t>
        </is>
      </c>
    </row>
    <row r="53">
      <c r="A53" s="78">
        <f>VALUE(maestro2[[#This Row],[Cedula]])</f>
        <v/>
      </c>
      <c r="B53" s="49" t="n">
        <v>1060589612</v>
      </c>
      <c r="C53" s="49" t="inlineStr">
        <is>
          <t>VINASCO LOAIZA JOSE TIBERIO</t>
        </is>
      </c>
      <c r="D53" s="89" t="inlineStr">
        <is>
          <t>CC</t>
        </is>
      </c>
      <c r="E53" s="89" t="inlineStr">
        <is>
          <t xml:space="preserve">BOGOTA                        </t>
        </is>
      </c>
      <c r="F53" s="49" t="inlineStr">
        <is>
          <t>DESCONOCIDO</t>
        </is>
      </c>
      <c r="G53" s="49" t="inlineStr">
        <is>
          <t>20/06/1992</t>
        </is>
      </c>
      <c r="H53" s="49" t="inlineStr">
        <is>
          <t xml:space="preserve">SUPIA                         </t>
        </is>
      </c>
      <c r="J53" s="78" t="inlineStr">
        <is>
          <t>VINASCO LOAIZA JOSE TIBERIO</t>
        </is>
      </c>
    </row>
    <row r="54">
      <c r="A54" s="78">
        <f>VALUE(maestro2[[#This Row],[Cedula]])</f>
        <v/>
      </c>
      <c r="B54" s="49" t="n">
        <v>1060591795</v>
      </c>
      <c r="C54" s="49" t="inlineStr">
        <is>
          <t>GARCIA AGUDELO MARIBEL</t>
        </is>
      </c>
      <c r="D54" s="89" t="inlineStr">
        <is>
          <t>CC</t>
        </is>
      </c>
      <c r="E54" s="89" t="inlineStr">
        <is>
          <t xml:space="preserve">BOGOTA                        </t>
        </is>
      </c>
      <c r="F54" s="49" t="inlineStr">
        <is>
          <t>SOLTERO</t>
        </is>
      </c>
      <c r="G54" s="49" t="inlineStr">
        <is>
          <t>16/12/1993</t>
        </is>
      </c>
      <c r="H54" s="49" t="inlineStr">
        <is>
          <t xml:space="preserve">SUPIA                         </t>
        </is>
      </c>
      <c r="J54" s="78" t="inlineStr">
        <is>
          <t>GARCIA AGUDELO MARIBEL</t>
        </is>
      </c>
    </row>
    <row r="55">
      <c r="A55" s="78">
        <f>VALUE(maestro2[[#This Row],[Cedula]])</f>
        <v/>
      </c>
      <c r="B55" s="49" t="n">
        <v>1060592188</v>
      </c>
      <c r="C55" s="49" t="inlineStr">
        <is>
          <t>GAÑAN TAPASCO VICTOR JULIO</t>
        </is>
      </c>
      <c r="D55" s="89" t="inlineStr">
        <is>
          <t>CC</t>
        </is>
      </c>
      <c r="E55" s="89" t="inlineStr">
        <is>
          <t xml:space="preserve">SEVILLA                       </t>
        </is>
      </c>
      <c r="F55" s="49" t="inlineStr">
        <is>
          <t>SOLTERO</t>
        </is>
      </c>
      <c r="G55" s="49" t="inlineStr">
        <is>
          <t>27/05/2004</t>
        </is>
      </c>
      <c r="H55" s="49" t="inlineStr">
        <is>
          <t xml:space="preserve">SUPIA                         </t>
        </is>
      </c>
      <c r="J55" s="78" t="e">
        <v>#N/A</v>
      </c>
    </row>
    <row r="56">
      <c r="A56" s="78">
        <f>VALUE(maestro2[[#This Row],[Cedula]])</f>
        <v/>
      </c>
      <c r="B56" s="49" t="n">
        <v>1060592562</v>
      </c>
      <c r="C56" s="49" t="inlineStr">
        <is>
          <t>ARREDONDO ANZOLA DANIEL ALAIN</t>
        </is>
      </c>
      <c r="D56" s="89" t="inlineStr">
        <is>
          <t>CC</t>
        </is>
      </c>
      <c r="E56" s="89" t="inlineStr">
        <is>
          <t xml:space="preserve">FALAN                         </t>
        </is>
      </c>
      <c r="F56" s="49" t="inlineStr">
        <is>
          <t>SOLTERO</t>
        </is>
      </c>
      <c r="G56" s="49" t="inlineStr">
        <is>
          <t>02/12/1995</t>
        </is>
      </c>
      <c r="H56" s="49" t="inlineStr">
        <is>
          <t xml:space="preserve">SUPIA                         </t>
        </is>
      </c>
      <c r="J56" s="78" t="e">
        <v>#N/A</v>
      </c>
    </row>
    <row r="57">
      <c r="A57" s="78">
        <f>VALUE(maestro2[[#This Row],[Cedula]])</f>
        <v/>
      </c>
      <c r="B57" s="49" t="n">
        <v>1060594098</v>
      </c>
      <c r="C57" s="49" t="inlineStr">
        <is>
          <t>GALEANO AYALA GLORIA EDITH</t>
        </is>
      </c>
      <c r="D57" s="89" t="inlineStr">
        <is>
          <t>CC</t>
        </is>
      </c>
      <c r="E57" s="89" t="inlineStr">
        <is>
          <t xml:space="preserve">MEDELLÍN                      </t>
        </is>
      </c>
      <c r="F57" s="49" t="inlineStr">
        <is>
          <t>CASADO</t>
        </is>
      </c>
      <c r="G57" s="49" t="inlineStr">
        <is>
          <t>22/06/1989</t>
        </is>
      </c>
      <c r="H57" s="49" t="inlineStr">
        <is>
          <t xml:space="preserve">SUPIA                         </t>
        </is>
      </c>
      <c r="J57" s="78" t="inlineStr">
        <is>
          <t>GALEANO AYALA GLORIA EDITH</t>
        </is>
      </c>
    </row>
    <row r="58">
      <c r="A58" s="78">
        <f>VALUE(maestro2[[#This Row],[Cedula]])</f>
        <v/>
      </c>
      <c r="B58" s="49" t="n">
        <v>1060594159</v>
      </c>
      <c r="C58" s="49" t="inlineStr">
        <is>
          <t>REYES VILLADA BRAYAN HERNANDO</t>
        </is>
      </c>
      <c r="D58" s="89" t="inlineStr">
        <is>
          <t>CC</t>
        </is>
      </c>
      <c r="E58" s="89" t="inlineStr">
        <is>
          <t xml:space="preserve">CARAMANTA                     </t>
        </is>
      </c>
      <c r="F58" s="49" t="inlineStr">
        <is>
          <t>SOLTERO</t>
        </is>
      </c>
      <c r="G58" s="49" t="inlineStr">
        <is>
          <t>19/02/1991</t>
        </is>
      </c>
      <c r="H58" s="49" t="inlineStr">
        <is>
          <t xml:space="preserve">MEDELLÍN                      </t>
        </is>
      </c>
      <c r="J58" s="78" t="e">
        <v>#N/A</v>
      </c>
    </row>
    <row r="59">
      <c r="A59" s="78">
        <f>VALUE(maestro2[[#This Row],[Cedula]])</f>
        <v/>
      </c>
      <c r="B59" s="49" t="n">
        <v>1060594638</v>
      </c>
      <c r="C59" s="49" t="inlineStr">
        <is>
          <t>PIEDRAHITA CARTAGENA DANIEL ARMANDO</t>
        </is>
      </c>
      <c r="D59" s="89" t="inlineStr">
        <is>
          <t>CC</t>
        </is>
      </c>
      <c r="E59" s="89" t="inlineStr">
        <is>
          <t xml:space="preserve">SUPIA                         </t>
        </is>
      </c>
      <c r="F59" s="49" t="inlineStr">
        <is>
          <t>SOLTERO</t>
        </is>
      </c>
      <c r="G59" s="49" t="inlineStr">
        <is>
          <t>11/11/1986</t>
        </is>
      </c>
      <c r="H59" s="49" t="inlineStr">
        <is>
          <t xml:space="preserve">SUPIA                         </t>
        </is>
      </c>
      <c r="J59" s="78" t="e">
        <v>#N/A</v>
      </c>
    </row>
    <row r="60">
      <c r="A60" s="78">
        <f>VALUE(maestro2[[#This Row],[Cedula]])</f>
        <v/>
      </c>
      <c r="B60" s="49" t="n">
        <v>1060594799</v>
      </c>
      <c r="C60" s="49" t="inlineStr">
        <is>
          <t>RIOS MARIN JUAN FELIPE</t>
        </is>
      </c>
      <c r="D60" s="89" t="inlineStr">
        <is>
          <t>CC</t>
        </is>
      </c>
      <c r="E60" s="89" t="inlineStr">
        <is>
          <t xml:space="preserve">SUPIA                         </t>
        </is>
      </c>
      <c r="F60" s="49" t="inlineStr">
        <is>
          <t>SOLTERO</t>
        </is>
      </c>
      <c r="G60" s="49" t="inlineStr">
        <is>
          <t>13/06/1991</t>
        </is>
      </c>
      <c r="H60" s="49" t="inlineStr">
        <is>
          <t xml:space="preserve">SUPIA                         </t>
        </is>
      </c>
      <c r="J60" s="78" t="inlineStr">
        <is>
          <t>RIOS MARIN JUAN FELIPE</t>
        </is>
      </c>
    </row>
    <row r="61">
      <c r="A61" s="78">
        <f>VALUE(maestro2[[#This Row],[Cedula]])</f>
        <v/>
      </c>
      <c r="B61" s="49" t="n">
        <v>1060596363</v>
      </c>
      <c r="C61" s="49" t="inlineStr">
        <is>
          <t>LEON GIRALDO FELIPE</t>
        </is>
      </c>
      <c r="D61" s="89" t="inlineStr">
        <is>
          <t>CC</t>
        </is>
      </c>
      <c r="E61" s="89" t="inlineStr">
        <is>
          <t xml:space="preserve">SUPIA                         </t>
        </is>
      </c>
      <c r="F61" s="49" t="inlineStr">
        <is>
          <t>CASADO</t>
        </is>
      </c>
      <c r="G61" s="49" t="inlineStr">
        <is>
          <t>28/01/1993</t>
        </is>
      </c>
      <c r="H61" s="49" t="inlineStr">
        <is>
          <t xml:space="preserve">SUPIA                         </t>
        </is>
      </c>
      <c r="J61" s="78" t="inlineStr">
        <is>
          <t>LEON GIRALDO FELIPE</t>
        </is>
      </c>
    </row>
    <row r="62">
      <c r="A62" s="78">
        <f>VALUE(maestro2[[#This Row],[Cedula]])</f>
        <v/>
      </c>
      <c r="B62" s="49" t="n">
        <v>1060596650</v>
      </c>
      <c r="C62" s="49" t="inlineStr">
        <is>
          <t>ALARCON TEJADA JUAN PABLO</t>
        </is>
      </c>
      <c r="D62" s="89" t="inlineStr">
        <is>
          <t>CC</t>
        </is>
      </c>
      <c r="E62" s="89" t="inlineStr">
        <is>
          <t xml:space="preserve">SUPIA                         </t>
        </is>
      </c>
      <c r="F62" s="49" t="inlineStr">
        <is>
          <t>SOLTERO</t>
        </is>
      </c>
      <c r="G62" s="49" t="inlineStr">
        <is>
          <t>07/04/2004</t>
        </is>
      </c>
      <c r="H62" s="49" t="inlineStr">
        <is>
          <t xml:space="preserve">SUPIA                         </t>
        </is>
      </c>
      <c r="J62" s="78" t="inlineStr">
        <is>
          <t>ALARCON TEJADA JUAN PABLO</t>
        </is>
      </c>
    </row>
    <row r="63">
      <c r="A63" s="78">
        <f>VALUE(maestro2[[#This Row],[Cedula]])</f>
        <v/>
      </c>
      <c r="B63" s="49" t="n">
        <v>1060596935</v>
      </c>
      <c r="C63" s="49" t="inlineStr">
        <is>
          <t>SERNA VILLADA VALENTINA</t>
        </is>
      </c>
      <c r="D63" s="89" t="inlineStr">
        <is>
          <t>CC</t>
        </is>
      </c>
      <c r="E63" s="89" t="inlineStr">
        <is>
          <t xml:space="preserve">SUPIA                         </t>
        </is>
      </c>
      <c r="F63" s="49" t="inlineStr">
        <is>
          <t>SOLTERO</t>
        </is>
      </c>
      <c r="G63" s="49" t="inlineStr">
        <is>
          <t>16/07/1994</t>
        </is>
      </c>
      <c r="H63" s="49" t="inlineStr">
        <is>
          <t xml:space="preserve">MEDELLÍN                      </t>
        </is>
      </c>
      <c r="J63" s="78" t="inlineStr">
        <is>
          <t>SERNA VILLADA VALENTINA</t>
        </is>
      </c>
    </row>
    <row r="64">
      <c r="A64" s="78">
        <f>VALUE(maestro2[[#This Row],[Cedula]])</f>
        <v/>
      </c>
      <c r="B64" s="49" t="n">
        <v>1060596951</v>
      </c>
      <c r="C64" s="49" t="inlineStr">
        <is>
          <t>RODRIGUEZ RODRIGUEZ ANLLY PAOLA</t>
        </is>
      </c>
      <c r="D64" s="89" t="inlineStr">
        <is>
          <t>CC</t>
        </is>
      </c>
      <c r="E64" s="89" t="inlineStr">
        <is>
          <t xml:space="preserve">SUPIA                         </t>
        </is>
      </c>
      <c r="F64" s="49" t="inlineStr">
        <is>
          <t>SOLTERO</t>
        </is>
      </c>
      <c r="G64" s="49" t="inlineStr">
        <is>
          <t>13/02/1998</t>
        </is>
      </c>
      <c r="H64" s="49" t="inlineStr">
        <is>
          <t xml:space="preserve">SUPIA                         </t>
        </is>
      </c>
      <c r="J64" s="78" t="inlineStr">
        <is>
          <t>RODRIGUEZ RODRIGUEZ ANLLY PAOLA</t>
        </is>
      </c>
    </row>
    <row r="65">
      <c r="A65" s="78">
        <f>VALUE(maestro2[[#This Row],[Cedula]])</f>
        <v/>
      </c>
      <c r="B65" s="49" t="n">
        <v>1060597642</v>
      </c>
      <c r="C65" s="49" t="inlineStr">
        <is>
          <t>GAÑAN BUENO YONIER ESTIVEN</t>
        </is>
      </c>
      <c r="D65" s="89" t="inlineStr">
        <is>
          <t>CC</t>
        </is>
      </c>
      <c r="E65" s="89" t="inlineStr">
        <is>
          <t xml:space="preserve">MEDELLÍN                      </t>
        </is>
      </c>
      <c r="F65" s="49" t="inlineStr">
        <is>
          <t>SOLTERO</t>
        </is>
      </c>
      <c r="G65" s="49" t="inlineStr">
        <is>
          <t>16/07/1986</t>
        </is>
      </c>
      <c r="H65" s="49" t="inlineStr">
        <is>
          <t xml:space="preserve">SUPIA                         </t>
        </is>
      </c>
      <c r="J65" s="78" t="e">
        <v>#N/A</v>
      </c>
    </row>
    <row r="66">
      <c r="A66" s="78">
        <f>VALUE(maestro2[[#This Row],[Cedula]])</f>
        <v/>
      </c>
      <c r="B66" s="49" t="n">
        <v>1060597775</v>
      </c>
      <c r="C66" s="49" t="inlineStr">
        <is>
          <t>FRANCO LLANES JUAN DIEGO</t>
        </is>
      </c>
      <c r="D66" s="89" t="inlineStr">
        <is>
          <t>CC</t>
        </is>
      </c>
      <c r="E66" s="89" t="inlineStr">
        <is>
          <t xml:space="preserve">ARMENIA                       </t>
        </is>
      </c>
      <c r="F66" s="49" t="inlineStr">
        <is>
          <t>CASADO</t>
        </is>
      </c>
      <c r="G66" s="49" t="inlineStr">
        <is>
          <t>28/03/1986</t>
        </is>
      </c>
      <c r="H66" s="49" t="inlineStr">
        <is>
          <t xml:space="preserve">SUPIA                         </t>
        </is>
      </c>
      <c r="J66" s="78" t="e">
        <v>#N/A</v>
      </c>
    </row>
    <row r="67">
      <c r="A67" s="78">
        <f>VALUE(maestro2[[#This Row],[Cedula]])</f>
        <v/>
      </c>
      <c r="B67" s="49" t="n">
        <v>1060598066</v>
      </c>
      <c r="C67" s="49" t="inlineStr">
        <is>
          <t>GUZMAN MEJIA ANA MARIA</t>
        </is>
      </c>
      <c r="D67" s="89" t="inlineStr">
        <is>
          <t>CC</t>
        </is>
      </c>
      <c r="E67" s="89" t="inlineStr">
        <is>
          <t xml:space="preserve">ARMENIA                       </t>
        </is>
      </c>
      <c r="F67" s="49" t="inlineStr">
        <is>
          <t>SOLTERO</t>
        </is>
      </c>
      <c r="G67" s="49" t="inlineStr">
        <is>
          <t>03/03/2004</t>
        </is>
      </c>
      <c r="H67" s="49" t="inlineStr">
        <is>
          <t xml:space="preserve">SUPIA                         </t>
        </is>
      </c>
      <c r="J67" s="78" t="inlineStr">
        <is>
          <t>GUZMAN MEJIA ANA MARIA</t>
        </is>
      </c>
    </row>
    <row r="68">
      <c r="A68" s="78">
        <f>VALUE(maestro2[[#This Row],[Cedula]])</f>
        <v/>
      </c>
      <c r="B68" s="49" t="n">
        <v>1060653592</v>
      </c>
      <c r="C68" s="49" t="inlineStr">
        <is>
          <t>LONDOÑO VANEGAS DAVID</t>
        </is>
      </c>
      <c r="D68" s="89" t="inlineStr">
        <is>
          <t>CC</t>
        </is>
      </c>
      <c r="E68" s="89" t="inlineStr">
        <is>
          <t xml:space="preserve">LA TEBAIDA                    </t>
        </is>
      </c>
      <c r="F68" s="49" t="inlineStr">
        <is>
          <t>CASADO</t>
        </is>
      </c>
      <c r="G68" s="49" t="inlineStr">
        <is>
          <t>06/04/1988</t>
        </is>
      </c>
      <c r="H68" s="49" t="inlineStr">
        <is>
          <t xml:space="preserve">MARMATO                       </t>
        </is>
      </c>
      <c r="J68" s="78" t="inlineStr">
        <is>
          <t>LONDOÑO VANEGAS DAVID</t>
        </is>
      </c>
    </row>
    <row r="69">
      <c r="A69" s="78">
        <f>VALUE(maestro2[[#This Row],[Cedula]])</f>
        <v/>
      </c>
      <c r="B69" s="49" t="n">
        <v>1065004568</v>
      </c>
      <c r="C69" s="49" t="inlineStr">
        <is>
          <t>PACHECO GALEANO MOISES ALBERTO</t>
        </is>
      </c>
      <c r="D69" s="89" t="inlineStr">
        <is>
          <t>CC</t>
        </is>
      </c>
      <c r="E69" s="89" t="inlineStr">
        <is>
          <t xml:space="preserve">SUPIA                         </t>
        </is>
      </c>
      <c r="F69" s="49" t="inlineStr">
        <is>
          <t>SOLTERO</t>
        </is>
      </c>
      <c r="G69" s="49" t="inlineStr">
        <is>
          <t>13/01/1993</t>
        </is>
      </c>
      <c r="H69" s="49" t="inlineStr">
        <is>
          <t xml:space="preserve">SUPIA                         </t>
        </is>
      </c>
      <c r="J69" s="78" t="e">
        <v>#N/A</v>
      </c>
    </row>
    <row r="70">
      <c r="A70" s="78">
        <f>VALUE(maestro2[[#This Row],[Cedula]])</f>
        <v/>
      </c>
      <c r="B70" s="49" t="n">
        <v>1067908034</v>
      </c>
      <c r="C70" s="49" t="inlineStr">
        <is>
          <t>PATERNINA POLO JESSICA</t>
        </is>
      </c>
      <c r="D70" s="89" t="inlineStr">
        <is>
          <t>CC</t>
        </is>
      </c>
      <c r="E70" s="89" t="inlineStr">
        <is>
          <t xml:space="preserve">MANIZALES                     </t>
        </is>
      </c>
      <c r="F70" s="49" t="inlineStr">
        <is>
          <t>SOLTERO</t>
        </is>
      </c>
      <c r="G70" s="49" t="inlineStr">
        <is>
          <t>06/05/1995</t>
        </is>
      </c>
      <c r="H70" s="49" t="inlineStr">
        <is>
          <t xml:space="preserve">SUPIA                         </t>
        </is>
      </c>
      <c r="J70" s="78" t="e">
        <v>#N/A</v>
      </c>
    </row>
    <row r="71">
      <c r="A71" s="78">
        <f>VALUE(maestro2[[#This Row],[Cedula]])</f>
        <v/>
      </c>
      <c r="B71" s="49" t="n">
        <v>1071351401</v>
      </c>
      <c r="C71" s="49" t="inlineStr">
        <is>
          <t>SANCHEZ MASEA YOMAR JAVIER</t>
        </is>
      </c>
      <c r="D71" s="89" t="inlineStr">
        <is>
          <t>CC</t>
        </is>
      </c>
      <c r="E71" s="89" t="inlineStr">
        <is>
          <t xml:space="preserve">RIOSUCIO                      </t>
        </is>
      </c>
      <c r="F71" s="49" t="inlineStr">
        <is>
          <t>SOLTERO</t>
        </is>
      </c>
      <c r="G71" s="49" t="inlineStr">
        <is>
          <t>10/03/1997</t>
        </is>
      </c>
      <c r="H71" s="49" t="inlineStr">
        <is>
          <t xml:space="preserve">SUPIA                         </t>
        </is>
      </c>
      <c r="J71" s="78" t="e">
        <v>#N/A</v>
      </c>
    </row>
    <row r="72">
      <c r="A72" s="78">
        <f>VALUE(maestro2[[#This Row],[Cedula]])</f>
        <v/>
      </c>
      <c r="B72" s="49" t="n">
        <v>1095510911</v>
      </c>
      <c r="C72" s="49" t="inlineStr">
        <is>
          <t>GUAZA VELASCO YOINER JAVIER</t>
        </is>
      </c>
      <c r="D72" s="89" t="inlineStr">
        <is>
          <t>CC</t>
        </is>
      </c>
      <c r="E72" s="89" t="inlineStr">
        <is>
          <t xml:space="preserve">RIOSUCIO                      </t>
        </is>
      </c>
      <c r="F72" s="49" t="inlineStr">
        <is>
          <t>SOLTERO</t>
        </is>
      </c>
      <c r="G72" s="49" t="inlineStr">
        <is>
          <t>03/06/1997</t>
        </is>
      </c>
      <c r="H72" s="49" t="inlineStr">
        <is>
          <t xml:space="preserve">SUPIA                         </t>
        </is>
      </c>
      <c r="J72" s="78" t="inlineStr">
        <is>
          <t>GUAZA VELASCO YOINER JAVIER</t>
        </is>
      </c>
    </row>
    <row r="73">
      <c r="A73" s="78">
        <f>VALUE(maestro2[[#This Row],[Cedula]])</f>
        <v/>
      </c>
      <c r="B73" s="49" t="n">
        <v>1098668023</v>
      </c>
      <c r="C73" s="49" t="inlineStr">
        <is>
          <t>PINILLA REYES OSCAR JAVIER</t>
        </is>
      </c>
      <c r="D73" s="89" t="inlineStr">
        <is>
          <t>CC</t>
        </is>
      </c>
      <c r="E73" s="89" t="inlineStr">
        <is>
          <t xml:space="preserve">SUPIA                         </t>
        </is>
      </c>
      <c r="F73" s="49" t="inlineStr">
        <is>
          <t>SOLTERO</t>
        </is>
      </c>
      <c r="G73" s="49" t="inlineStr">
        <is>
          <t>02/02/1999</t>
        </is>
      </c>
      <c r="H73" s="49" t="inlineStr">
        <is>
          <t xml:space="preserve">SUPIA                         </t>
        </is>
      </c>
      <c r="J73" s="78" t="inlineStr">
        <is>
          <t>PINILLA REYES OSCAR JAVIER</t>
        </is>
      </c>
    </row>
    <row r="74">
      <c r="A74" s="78">
        <f>VALUE(maestro2[[#This Row],[Cedula]])</f>
        <v/>
      </c>
      <c r="B74" s="49" t="n">
        <v>1098680474</v>
      </c>
      <c r="C74" s="49" t="inlineStr">
        <is>
          <t>MENDOZA AFANADOR GERSON</t>
        </is>
      </c>
      <c r="D74" s="89" t="inlineStr">
        <is>
          <t>CC</t>
        </is>
      </c>
      <c r="E74" s="89" t="inlineStr">
        <is>
          <t xml:space="preserve">SUPIA                         </t>
        </is>
      </c>
      <c r="F74" s="49" t="inlineStr">
        <is>
          <t>SOLTERO</t>
        </is>
      </c>
      <c r="G74" s="49" t="inlineStr">
        <is>
          <t>07/02/1990</t>
        </is>
      </c>
      <c r="H74" s="49" t="inlineStr">
        <is>
          <t xml:space="preserve">MANIZALES                     </t>
        </is>
      </c>
      <c r="J74" s="78" t="e">
        <v>#N/A</v>
      </c>
    </row>
    <row r="75">
      <c r="A75" s="78">
        <f>VALUE(maestro2[[#This Row],[Cedula]])</f>
        <v/>
      </c>
      <c r="B75" s="49" t="n">
        <v>1098683398</v>
      </c>
      <c r="C75" s="49" t="inlineStr">
        <is>
          <t>RIVEROS RUEDA ORLANDO</t>
        </is>
      </c>
      <c r="D75" s="89" t="inlineStr">
        <is>
          <t>CC</t>
        </is>
      </c>
      <c r="E75" s="89" t="inlineStr">
        <is>
          <t xml:space="preserve">SUPIA                         </t>
        </is>
      </c>
      <c r="F75" s="49" t="inlineStr">
        <is>
          <t>SOLTERO</t>
        </is>
      </c>
      <c r="G75" s="49" t="inlineStr">
        <is>
          <t>24/12/2004</t>
        </is>
      </c>
      <c r="H75" s="49" t="inlineStr">
        <is>
          <t xml:space="preserve">SUPIA                         </t>
        </is>
      </c>
      <c r="J75" s="78" t="e">
        <v>#N/A</v>
      </c>
    </row>
    <row r="76">
      <c r="A76" s="78">
        <f>VALUE(maestro2[[#This Row],[Cedula]])</f>
        <v/>
      </c>
      <c r="B76" s="49" t="n">
        <v>1098688603</v>
      </c>
      <c r="C76" s="49" t="inlineStr">
        <is>
          <t>OTERO CASTILLO IVON JOHANA</t>
        </is>
      </c>
      <c r="D76" s="89" t="inlineStr">
        <is>
          <t>CC</t>
        </is>
      </c>
      <c r="E76" s="89" t="inlineStr">
        <is>
          <t xml:space="preserve">RIOSUCIO                      </t>
        </is>
      </c>
      <c r="F76" s="49" t="inlineStr">
        <is>
          <t>SOLTERO</t>
        </is>
      </c>
      <c r="G76" s="49" t="inlineStr">
        <is>
          <t>12/02/1991</t>
        </is>
      </c>
      <c r="H76" s="49" t="inlineStr">
        <is>
          <t xml:space="preserve">SUPIA                         </t>
        </is>
      </c>
      <c r="J76" s="78" t="e">
        <v>#N/A</v>
      </c>
    </row>
    <row r="77">
      <c r="A77" s="78">
        <f>VALUE(maestro2[[#This Row],[Cedula]])</f>
        <v/>
      </c>
      <c r="B77" s="49" t="n">
        <v>1100950267</v>
      </c>
      <c r="C77" s="49" t="inlineStr">
        <is>
          <t>PEDROZA URIBE LAURA MARCELA</t>
        </is>
      </c>
      <c r="D77" s="89" t="inlineStr">
        <is>
          <t>CC</t>
        </is>
      </c>
      <c r="E77" s="89" t="inlineStr">
        <is>
          <t xml:space="preserve">SUPIA                         </t>
        </is>
      </c>
      <c r="F77" s="49" t="inlineStr">
        <is>
          <t>SOLTERO</t>
        </is>
      </c>
      <c r="G77" s="49" t="inlineStr">
        <is>
          <t>25/11/1996</t>
        </is>
      </c>
      <c r="H77" s="49" t="inlineStr">
        <is>
          <t xml:space="preserve">MARMATO                       </t>
        </is>
      </c>
      <c r="J77" s="78" t="inlineStr">
        <is>
          <t>PEDROZA URIBE LAURA MARCELA</t>
        </is>
      </c>
    </row>
    <row r="78">
      <c r="A78" s="78">
        <f>VALUE(maestro2[[#This Row],[Cedula]])</f>
        <v/>
      </c>
      <c r="B78" s="49" t="n">
        <v>1101440352</v>
      </c>
      <c r="C78" s="49" t="inlineStr">
        <is>
          <t>BANQUEZ MATURANA MIGUEL</t>
        </is>
      </c>
      <c r="D78" s="89" t="inlineStr">
        <is>
          <t>CC</t>
        </is>
      </c>
      <c r="E78" s="89" t="inlineStr">
        <is>
          <t xml:space="preserve">SUPIA                         </t>
        </is>
      </c>
      <c r="F78" s="49" t="inlineStr">
        <is>
          <t>SOLTERO</t>
        </is>
      </c>
      <c r="G78" s="49" t="inlineStr">
        <is>
          <t>21/02/2004</t>
        </is>
      </c>
      <c r="H78" s="49" t="inlineStr">
        <is>
          <t xml:space="preserve">SUPIA                         </t>
        </is>
      </c>
      <c r="J78" s="78" t="inlineStr">
        <is>
          <t>BANQUEZ MATURANA MIGUEL</t>
        </is>
      </c>
    </row>
    <row r="79">
      <c r="A79" s="78">
        <f>VALUE(maestro2[[#This Row],[Cedula]])</f>
        <v/>
      </c>
      <c r="B79" s="49" t="n">
        <v>1101441172</v>
      </c>
      <c r="C79" s="49" t="inlineStr">
        <is>
          <t>CUELLO TORRES OSCAR BENITO</t>
        </is>
      </c>
      <c r="D79" s="89" t="inlineStr">
        <is>
          <t>CC</t>
        </is>
      </c>
      <c r="E79" s="89" t="inlineStr">
        <is>
          <t xml:space="preserve">MEDELLÍN                      </t>
        </is>
      </c>
      <c r="F79" s="49" t="inlineStr">
        <is>
          <t>SOLTERO</t>
        </is>
      </c>
      <c r="G79" s="49" t="inlineStr">
        <is>
          <t>18/05/2004</t>
        </is>
      </c>
      <c r="H79" s="49" t="inlineStr">
        <is>
          <t xml:space="preserve">SUPIA                         </t>
        </is>
      </c>
      <c r="J79" s="78" t="e">
        <v>#N/A</v>
      </c>
    </row>
    <row r="80">
      <c r="A80" s="78">
        <f>VALUE(maestro2[[#This Row],[Cedula]])</f>
        <v/>
      </c>
      <c r="B80" s="49" t="n">
        <v>1102366106</v>
      </c>
      <c r="C80" s="49" t="inlineStr">
        <is>
          <t>GUERRERO CASTELLANOS OSCAR MAURICIO</t>
        </is>
      </c>
      <c r="D80" s="89" t="inlineStr">
        <is>
          <t>CC</t>
        </is>
      </c>
      <c r="E80" s="89" t="inlineStr">
        <is>
          <t xml:space="preserve">MANIZALES                     </t>
        </is>
      </c>
      <c r="F80" s="49" t="inlineStr">
        <is>
          <t>SOLTERO</t>
        </is>
      </c>
      <c r="G80" s="49" t="inlineStr">
        <is>
          <t>18/09/1993</t>
        </is>
      </c>
      <c r="H80" s="49" t="inlineStr">
        <is>
          <t xml:space="preserve">SUPIA                         </t>
        </is>
      </c>
      <c r="J80" s="78" t="inlineStr">
        <is>
          <t>GUERRERO CASTELLANOS OSCAR MAURICIO</t>
        </is>
      </c>
    </row>
    <row r="81">
      <c r="A81" s="78">
        <f>VALUE(maestro2[[#This Row],[Cedula]])</f>
        <v/>
      </c>
      <c r="B81" s="49" t="n">
        <v>1128391597</v>
      </c>
      <c r="C81" s="49" t="inlineStr">
        <is>
          <t>ALVAREZ GALEANO JUAN DAVID</t>
        </is>
      </c>
      <c r="D81" s="89" t="inlineStr">
        <is>
          <t>CC</t>
        </is>
      </c>
      <c r="E81" s="89" t="inlineStr">
        <is>
          <t xml:space="preserve">ANDES                         </t>
        </is>
      </c>
      <c r="F81" s="49" t="inlineStr">
        <is>
          <t>DESCONOCIDO</t>
        </is>
      </c>
      <c r="G81" s="49" t="inlineStr">
        <is>
          <t>08/05/1999</t>
        </is>
      </c>
      <c r="H81" s="49" t="inlineStr">
        <is>
          <t xml:space="preserve">SUPIA                         </t>
        </is>
      </c>
      <c r="J81" s="78" t="e">
        <v>#N/A</v>
      </c>
    </row>
    <row r="82">
      <c r="A82" s="78">
        <f>VALUE(maestro2[[#This Row],[Cedula]])</f>
        <v/>
      </c>
      <c r="B82" s="49" t="n">
        <v>1128415118</v>
      </c>
      <c r="C82" s="49" t="inlineStr">
        <is>
          <t>MONTOYA MONTOYA PABLO ESTEBAN</t>
        </is>
      </c>
      <c r="D82" s="89" t="inlineStr">
        <is>
          <t>CC</t>
        </is>
      </c>
      <c r="E82" s="89" t="inlineStr">
        <is>
          <t xml:space="preserve">AMAGA                         </t>
        </is>
      </c>
      <c r="F82" s="49" t="inlineStr">
        <is>
          <t>DESCONOCIDO</t>
        </is>
      </c>
      <c r="G82" s="49" t="inlineStr">
        <is>
          <t>20/05/1999</t>
        </is>
      </c>
      <c r="H82" s="49" t="inlineStr">
        <is>
          <t xml:space="preserve">SUPIA                         </t>
        </is>
      </c>
      <c r="J82" s="78" t="inlineStr">
        <is>
          <t>MONTOYA MONTOYA PABLO ESTEBAN</t>
        </is>
      </c>
    </row>
    <row r="83">
      <c r="A83" s="78">
        <f>VALUE(maestro2[[#This Row],[Cedula]])</f>
        <v/>
      </c>
      <c r="B83" s="49" t="n">
        <v>1128422824</v>
      </c>
      <c r="C83" s="49" t="inlineStr">
        <is>
          <t>MARIN ESTRADA YURANY</t>
        </is>
      </c>
      <c r="D83" s="89" t="inlineStr">
        <is>
          <t>CC</t>
        </is>
      </c>
      <c r="E83" s="89" t="inlineStr">
        <is>
          <t xml:space="preserve">RIOSUCIO                      </t>
        </is>
      </c>
      <c r="F83" s="49" t="inlineStr">
        <is>
          <t>DESCONOCIDO</t>
        </is>
      </c>
      <c r="G83" s="49" t="inlineStr">
        <is>
          <t>18/02/1987</t>
        </is>
      </c>
      <c r="H83" s="49" t="inlineStr">
        <is>
          <t xml:space="preserve">MANIZALES                     </t>
        </is>
      </c>
      <c r="J83" s="78" t="inlineStr">
        <is>
          <t>MARIN ESTRADA YURANY</t>
        </is>
      </c>
    </row>
    <row r="84">
      <c r="A84" s="78">
        <f>VALUE(maestro2[[#This Row],[Cedula]])</f>
        <v/>
      </c>
      <c r="B84" s="49" t="n">
        <v>1129508933</v>
      </c>
      <c r="C84" s="49" t="inlineStr">
        <is>
          <t>RODRIGUEZ CASTAÑEDA KARIDIS PAOLA</t>
        </is>
      </c>
      <c r="D84" s="89" t="inlineStr">
        <is>
          <t>CC</t>
        </is>
      </c>
      <c r="E84" s="89" t="inlineStr">
        <is>
          <t xml:space="preserve">SUPIA                         </t>
        </is>
      </c>
      <c r="F84" s="49" t="inlineStr">
        <is>
          <t>SOLTERO</t>
        </is>
      </c>
      <c r="G84" s="49" t="inlineStr">
        <is>
          <t>02/09/1988</t>
        </is>
      </c>
      <c r="H84" s="49" t="inlineStr">
        <is>
          <t xml:space="preserve">SUPIA                         </t>
        </is>
      </c>
      <c r="J84" s="78" t="e">
        <v>#N/A</v>
      </c>
    </row>
    <row r="85">
      <c r="A85" s="78">
        <f>VALUE(maestro2[[#This Row],[Cedula]])</f>
        <v/>
      </c>
      <c r="B85" s="49" t="n">
        <v>1152193844</v>
      </c>
      <c r="C85" s="49" t="inlineStr">
        <is>
          <t>DAVID VALLE SANTIAGO</t>
        </is>
      </c>
      <c r="D85" s="89" t="inlineStr">
        <is>
          <t>CC</t>
        </is>
      </c>
      <c r="E85" s="89" t="inlineStr">
        <is>
          <t xml:space="preserve">ITAGUI                        </t>
        </is>
      </c>
      <c r="F85" s="49" t="inlineStr">
        <is>
          <t>SOLTERO</t>
        </is>
      </c>
      <c r="G85" s="49" t="inlineStr">
        <is>
          <t>16/07/1989</t>
        </is>
      </c>
      <c r="H85" s="49" t="inlineStr">
        <is>
          <t xml:space="preserve">SUPIA                         </t>
        </is>
      </c>
      <c r="J85" s="78" t="inlineStr">
        <is>
          <t>DAVID VALLE SANTIAGO</t>
        </is>
      </c>
    </row>
    <row r="86">
      <c r="A86" s="78">
        <f>VALUE(maestro2[[#This Row],[Cedula]])</f>
        <v/>
      </c>
      <c r="B86" s="49" t="n">
        <v>1192799435</v>
      </c>
      <c r="C86" s="49" t="inlineStr">
        <is>
          <t>VILLAMIL SEDANO SANTIAGO</t>
        </is>
      </c>
      <c r="D86" s="89" t="inlineStr">
        <is>
          <t>CC</t>
        </is>
      </c>
      <c r="E86" s="89" t="inlineStr">
        <is>
          <t xml:space="preserve">SAN ANDRES                    </t>
        </is>
      </c>
      <c r="F86" s="49" t="inlineStr">
        <is>
          <t>UNION LIBRE</t>
        </is>
      </c>
      <c r="G86" s="49" t="inlineStr">
        <is>
          <t>10/12/1991</t>
        </is>
      </c>
      <c r="H86" s="49" t="inlineStr">
        <is>
          <t xml:space="preserve">MARMATO                       </t>
        </is>
      </c>
      <c r="J86" s="78" t="inlineStr">
        <is>
          <t>VILLAMIL SEDANO SANTIAGO</t>
        </is>
      </c>
    </row>
    <row r="87">
      <c r="A87" s="78">
        <f>VALUE(maestro2[[#This Row],[Cedula]])</f>
        <v/>
      </c>
      <c r="B87" s="49" t="n">
        <v>1192904166</v>
      </c>
      <c r="C87" s="49" t="inlineStr">
        <is>
          <t>OSORIO DIAZ JASON STEVENS</t>
        </is>
      </c>
      <c r="D87" s="89" t="inlineStr">
        <is>
          <t>CC</t>
        </is>
      </c>
      <c r="E87" s="89" t="inlineStr">
        <is>
          <t xml:space="preserve">ENVIGADO                      </t>
        </is>
      </c>
      <c r="F87" s="49" t="inlineStr">
        <is>
          <t>SOLTERO</t>
        </is>
      </c>
      <c r="G87" s="49" t="inlineStr">
        <is>
          <t>28/07/1994</t>
        </is>
      </c>
      <c r="H87" s="49" t="inlineStr">
        <is>
          <t xml:space="preserve">SUPIA                         </t>
        </is>
      </c>
      <c r="J87" s="78" t="e">
        <v>#N/A</v>
      </c>
    </row>
    <row r="88">
      <c r="A88" s="78">
        <f>VALUE(maestro2[[#This Row],[Cedula]])</f>
        <v/>
      </c>
      <c r="B88" s="49" t="n">
        <v>1193029566</v>
      </c>
      <c r="C88" s="49" t="inlineStr">
        <is>
          <t>MONSALVE ESTRADA JUAN SEBASTIAN</t>
        </is>
      </c>
      <c r="D88" s="89" t="inlineStr">
        <is>
          <t>CC</t>
        </is>
      </c>
      <c r="E88" s="89" t="inlineStr">
        <is>
          <t xml:space="preserve">ENVIGADO                      </t>
        </is>
      </c>
      <c r="F88" s="49" t="inlineStr">
        <is>
          <t>SOLTERO</t>
        </is>
      </c>
      <c r="G88" s="49" t="inlineStr">
        <is>
          <t>20/05/1994</t>
        </is>
      </c>
      <c r="H88" s="49" t="inlineStr">
        <is>
          <t xml:space="preserve">SUPIA                         </t>
        </is>
      </c>
      <c r="J88" s="78" t="inlineStr">
        <is>
          <t>MONSALVE ESTRADA JUAN SEBASTIAN</t>
        </is>
      </c>
    </row>
    <row r="89">
      <c r="A89" s="78">
        <f>VALUE(maestro2[[#This Row],[Cedula]])</f>
        <v/>
      </c>
      <c r="B89" s="49" t="n">
        <v>13511547</v>
      </c>
      <c r="C89" s="49" t="inlineStr">
        <is>
          <t>OSSMA GOMEZ OMAR DAVID</t>
        </is>
      </c>
      <c r="D89" s="89" t="inlineStr">
        <is>
          <t>CC</t>
        </is>
      </c>
      <c r="E89" s="89" t="inlineStr">
        <is>
          <t xml:space="preserve">CARAMANTA                     </t>
        </is>
      </c>
      <c r="F89" s="49" t="inlineStr">
        <is>
          <t>SOLTERO</t>
        </is>
      </c>
      <c r="G89" s="49" t="inlineStr">
        <is>
          <t>24/06/1995</t>
        </is>
      </c>
      <c r="H89" s="49" t="inlineStr">
        <is>
          <t xml:space="preserve">SUPIA                         </t>
        </is>
      </c>
      <c r="J89" s="78" t="inlineStr">
        <is>
          <t>OSSMA GOMEZ OMAR DAVID</t>
        </is>
      </c>
    </row>
    <row r="90" ht="14.5" customHeight="1">
      <c r="A90" s="78">
        <f>VALUE(maestro2[[#This Row],[Cedula]])</f>
        <v/>
      </c>
      <c r="B90" s="49" t="n">
        <v>15447956</v>
      </c>
      <c r="C90" s="49" t="inlineStr">
        <is>
          <t>HERRERA OSORIO JHON ALBERTO</t>
        </is>
      </c>
      <c r="D90" s="89" t="inlineStr">
        <is>
          <t>CC</t>
        </is>
      </c>
      <c r="E90" s="89" t="inlineStr">
        <is>
          <t xml:space="preserve">ITAGUI                        </t>
        </is>
      </c>
      <c r="F90" s="49" t="inlineStr">
        <is>
          <t>SOLTERO</t>
        </is>
      </c>
      <c r="G90" s="49" t="inlineStr">
        <is>
          <t>22/04/1997</t>
        </is>
      </c>
      <c r="H90" s="49" t="inlineStr">
        <is>
          <t xml:space="preserve">SUPIA                         </t>
        </is>
      </c>
      <c r="J90" s="78" t="inlineStr">
        <is>
          <t>HERRERA OSORIO JHON ALBERTO</t>
        </is>
      </c>
      <c r="U90" s="90" t="n"/>
    </row>
    <row r="91">
      <c r="A91" s="78">
        <f>VALUE(maestro2[[#This Row],[Cedula]])</f>
        <v/>
      </c>
      <c r="B91" s="49" t="n">
        <v>15923454</v>
      </c>
      <c r="C91" s="49" t="inlineStr">
        <is>
          <t>LADINO ALVAREZ JHON JAIRO</t>
        </is>
      </c>
      <c r="D91" s="89" t="inlineStr">
        <is>
          <t>CC</t>
        </is>
      </c>
      <c r="E91" s="89" t="inlineStr">
        <is>
          <t xml:space="preserve">SANTUARIO                     </t>
        </is>
      </c>
      <c r="F91" s="49" t="inlineStr">
        <is>
          <t>SOLTERO</t>
        </is>
      </c>
      <c r="G91" s="49" t="inlineStr">
        <is>
          <t>29/09/1997</t>
        </is>
      </c>
      <c r="H91" s="49" t="inlineStr">
        <is>
          <t xml:space="preserve">SUPIA                         </t>
        </is>
      </c>
      <c r="J91" s="78" t="inlineStr">
        <is>
          <t>LADINO ALVAREZ JHON JAIRO</t>
        </is>
      </c>
    </row>
    <row r="92">
      <c r="A92" s="78">
        <f>VALUE(maestro2[[#This Row],[Cedula]])</f>
        <v/>
      </c>
      <c r="B92" s="49" t="n">
        <v>15928324</v>
      </c>
      <c r="C92" s="49" t="inlineStr">
        <is>
          <t>ALVAREZ RINCON GERARDO ANTONIO</t>
        </is>
      </c>
      <c r="D92" s="89" t="inlineStr">
        <is>
          <t>CC</t>
        </is>
      </c>
      <c r="E92" s="89" t="inlineStr">
        <is>
          <t xml:space="preserve">SUPIA                         </t>
        </is>
      </c>
      <c r="F92" s="49" t="inlineStr">
        <is>
          <t>SOLTERO</t>
        </is>
      </c>
      <c r="G92" s="49" t="inlineStr">
        <is>
          <t>21/03/1998</t>
        </is>
      </c>
      <c r="H92" s="49" t="inlineStr">
        <is>
          <t xml:space="preserve">SUPIA                         </t>
        </is>
      </c>
      <c r="J92" s="78" t="e">
        <v>#N/A</v>
      </c>
    </row>
    <row r="93">
      <c r="A93" s="78">
        <f>VALUE(maestro2[[#This Row],[Cedula]])</f>
        <v/>
      </c>
      <c r="B93" s="49" t="n">
        <v>15930685</v>
      </c>
      <c r="C93" s="49" t="inlineStr">
        <is>
          <t>GUTIERREZ VILLEGAS FERNANDO ANDRES</t>
        </is>
      </c>
      <c r="D93" s="89" t="inlineStr">
        <is>
          <t>CC</t>
        </is>
      </c>
      <c r="E93" s="89" t="inlineStr">
        <is>
          <t xml:space="preserve">MANIZALES                     </t>
        </is>
      </c>
      <c r="F93" s="49" t="inlineStr">
        <is>
          <t>SOLTERO</t>
        </is>
      </c>
      <c r="G93" s="49" t="inlineStr">
        <is>
          <t>29/03/1998</t>
        </is>
      </c>
      <c r="H93" s="49" t="inlineStr">
        <is>
          <t xml:space="preserve">SUPIA                         </t>
        </is>
      </c>
      <c r="J93" s="78" t="e">
        <v>#N/A</v>
      </c>
    </row>
    <row r="94">
      <c r="A94" s="78">
        <f>VALUE(maestro2[[#This Row],[Cedula]])</f>
        <v/>
      </c>
      <c r="B94" s="49" t="n">
        <v>15931551</v>
      </c>
      <c r="C94" s="49" t="inlineStr">
        <is>
          <t>RAMIREZ RAMIREZ DIDIER DE JESUS</t>
        </is>
      </c>
      <c r="D94" s="89" t="inlineStr">
        <is>
          <t>CC</t>
        </is>
      </c>
      <c r="E94" s="89" t="inlineStr">
        <is>
          <t xml:space="preserve">MANIZALES                     </t>
        </is>
      </c>
      <c r="F94" s="49" t="inlineStr">
        <is>
          <t>UNION LIBRE</t>
        </is>
      </c>
      <c r="G94" s="49" t="inlineStr">
        <is>
          <t>23/03/1999</t>
        </is>
      </c>
      <c r="H94" s="49" t="inlineStr">
        <is>
          <t xml:space="preserve">SUPIA                         </t>
        </is>
      </c>
      <c r="J94" s="78" t="inlineStr">
        <is>
          <t>RAMIREZ RAMIREZ DIDIER DE JESUS</t>
        </is>
      </c>
    </row>
    <row r="95">
      <c r="A95" s="78">
        <f>VALUE(maestro2[[#This Row],[Cedula]])</f>
        <v/>
      </c>
      <c r="B95" s="49" t="n">
        <v>15932818</v>
      </c>
      <c r="C95" s="49" t="inlineStr">
        <is>
          <t>GUEVARA  JOSE DAVID</t>
        </is>
      </c>
      <c r="D95" s="89" t="inlineStr">
        <is>
          <t>CC</t>
        </is>
      </c>
      <c r="E95" s="89" t="inlineStr">
        <is>
          <t xml:space="preserve">QUINCHIA                      </t>
        </is>
      </c>
      <c r="F95" s="49" t="inlineStr">
        <is>
          <t>SOLTERO</t>
        </is>
      </c>
      <c r="G95" s="49" t="inlineStr">
        <is>
          <t>03/11/1999</t>
        </is>
      </c>
      <c r="H95" s="49" t="inlineStr">
        <is>
          <t xml:space="preserve">SUPIA                         </t>
        </is>
      </c>
      <c r="J95" s="78" t="e">
        <v>#N/A</v>
      </c>
    </row>
    <row r="96" ht="14.5" customHeight="1">
      <c r="A96" s="78">
        <f>VALUE(maestro2[[#This Row],[Cedula]])</f>
        <v/>
      </c>
      <c r="B96" s="49" t="n">
        <v>16053295</v>
      </c>
      <c r="C96" s="49" t="inlineStr">
        <is>
          <t>MONTES RINCON JOSE ROGELIO</t>
        </is>
      </c>
      <c r="D96" s="89" t="inlineStr">
        <is>
          <t>CC</t>
        </is>
      </c>
      <c r="E96" s="89" t="inlineStr">
        <is>
          <t xml:space="preserve">MANIZALES                     </t>
        </is>
      </c>
      <c r="F96" s="49" t="inlineStr">
        <is>
          <t>SOLTERO</t>
        </is>
      </c>
      <c r="G96" s="49" t="inlineStr">
        <is>
          <t>06/02/1995</t>
        </is>
      </c>
      <c r="H96" s="49" t="inlineStr">
        <is>
          <t xml:space="preserve">SUPIA                         </t>
        </is>
      </c>
      <c r="I96" s="49" t="n"/>
      <c r="J96" s="78" t="e">
        <v>#N/A</v>
      </c>
      <c r="K96" s="49" t="n"/>
      <c r="L96" s="49" t="n"/>
      <c r="M96" s="49" t="n"/>
      <c r="N96" s="49" t="n"/>
      <c r="O96" s="49" t="n"/>
      <c r="P96" s="49" t="n"/>
      <c r="Q96" s="49" t="n"/>
      <c r="R96" s="49" t="n"/>
      <c r="S96" s="49" t="n"/>
      <c r="T96" s="49" t="n"/>
      <c r="U96" s="49" t="n"/>
      <c r="V96" s="49" t="n"/>
      <c r="W96" s="49" t="n"/>
      <c r="X96" s="49" t="n"/>
      <c r="Y96" s="49" t="n"/>
      <c r="Z96" s="49" t="n"/>
      <c r="AA96" s="49" t="n"/>
      <c r="AB96" s="49" t="n"/>
      <c r="AC96" s="49" t="n"/>
      <c r="AD96" s="49" t="n"/>
      <c r="AE96" s="49" t="n"/>
      <c r="AF96" s="49" t="n"/>
      <c r="AG96" s="49" t="n"/>
      <c r="AH96" s="49" t="n"/>
      <c r="AI96" s="75" t="n"/>
      <c r="AJ96" s="75" t="n"/>
      <c r="AK96" s="75" t="n"/>
      <c r="AL96" s="75" t="n"/>
      <c r="AM96" s="75" t="n"/>
      <c r="AN96" s="75" t="n"/>
      <c r="AO96" s="75" t="n"/>
      <c r="AP96" s="75" t="n"/>
      <c r="AQ96" s="75" t="n"/>
      <c r="AR96" s="75" t="n"/>
      <c r="AS96" s="75" t="n"/>
      <c r="AT96" s="75" t="n"/>
      <c r="AU96" s="75" t="n"/>
      <c r="AV96" s="75" t="n"/>
      <c r="AW96" s="75" t="n"/>
      <c r="AX96" s="75" t="n"/>
      <c r="AY96" s="75" t="n"/>
      <c r="AZ96" s="75" t="n"/>
      <c r="BA96" s="75" t="n"/>
      <c r="BB96" s="75" t="n"/>
      <c r="BC96" s="75" t="n"/>
    </row>
    <row r="97">
      <c r="A97" s="78">
        <f>VALUE(maestro2[[#This Row],[Cedula]])</f>
        <v/>
      </c>
      <c r="B97" s="49" t="n">
        <v>16053518</v>
      </c>
      <c r="C97" s="49" t="inlineStr">
        <is>
          <t>GALEANO HENAO FRANCISCO JAVIER</t>
        </is>
      </c>
      <c r="D97" s="89" t="inlineStr">
        <is>
          <t>CC</t>
        </is>
      </c>
      <c r="E97" s="89" t="inlineStr">
        <is>
          <t xml:space="preserve">MANIZALES                     </t>
        </is>
      </c>
      <c r="F97" s="49" t="inlineStr">
        <is>
          <t>DESCONOCIDO</t>
        </is>
      </c>
      <c r="G97" s="49" t="inlineStr">
        <is>
          <t>03/01/1992</t>
        </is>
      </c>
      <c r="H97" s="49" t="inlineStr">
        <is>
          <t xml:space="preserve">SUPIA                         </t>
        </is>
      </c>
      <c r="J97" s="78" t="e">
        <v>#N/A</v>
      </c>
    </row>
    <row r="98">
      <c r="A98" s="78">
        <f>VALUE(maestro2[[#This Row],[Cedula]])</f>
        <v/>
      </c>
      <c r="B98" s="49" t="n">
        <v>16070773</v>
      </c>
      <c r="C98" s="49" t="inlineStr">
        <is>
          <t>OROZCO SALGADO JULIAN</t>
        </is>
      </c>
      <c r="D98" s="89" t="inlineStr">
        <is>
          <t>CC</t>
        </is>
      </c>
      <c r="E98" s="89" t="inlineStr">
        <is>
          <t xml:space="preserve">MANIZALES                     </t>
        </is>
      </c>
      <c r="F98" s="49" t="inlineStr">
        <is>
          <t>SOLTERO</t>
        </is>
      </c>
      <c r="G98" s="49" t="inlineStr">
        <is>
          <t>14/03/1993</t>
        </is>
      </c>
      <c r="H98" s="49" t="inlineStr">
        <is>
          <t xml:space="preserve">SUPIA                         </t>
        </is>
      </c>
      <c r="J98" s="78" t="inlineStr">
        <is>
          <t>OROZCO SALGADO JULIAN</t>
        </is>
      </c>
    </row>
    <row r="99">
      <c r="A99" s="78">
        <f>VALUE(maestro2[[#This Row],[Cedula]])</f>
        <v/>
      </c>
      <c r="B99" s="49" t="n">
        <v>16070854</v>
      </c>
      <c r="C99" s="49" t="inlineStr">
        <is>
          <t>GALLEGO ALVARADO CRISTIAN HERNANDO</t>
        </is>
      </c>
      <c r="D99" s="89" t="inlineStr">
        <is>
          <t>CC</t>
        </is>
      </c>
      <c r="E99" s="89" t="inlineStr">
        <is>
          <t xml:space="preserve">MANIZALES                     </t>
        </is>
      </c>
      <c r="F99" s="49" t="inlineStr">
        <is>
          <t>SOLTERO</t>
        </is>
      </c>
      <c r="G99" s="49" t="inlineStr">
        <is>
          <t>19/02/1989</t>
        </is>
      </c>
      <c r="H99" s="49" t="inlineStr">
        <is>
          <t xml:space="preserve">MEDELLÍN                      </t>
        </is>
      </c>
      <c r="J99" s="78" t="inlineStr">
        <is>
          <t>GALLEGO ALVARADO CRISTIAN HERNANDO</t>
        </is>
      </c>
    </row>
    <row r="100">
      <c r="A100" s="78">
        <f>VALUE(maestro2[[#This Row],[Cedula]])</f>
        <v/>
      </c>
      <c r="B100" s="49" t="n">
        <v>24339233</v>
      </c>
      <c r="C100" s="49" t="inlineStr">
        <is>
          <t>LONDONO OCAMPO VIVIANA</t>
        </is>
      </c>
      <c r="D100" s="89" t="inlineStr">
        <is>
          <t>CC</t>
        </is>
      </c>
      <c r="E100" s="89" t="inlineStr">
        <is>
          <t xml:space="preserve">MANIZALES                     </t>
        </is>
      </c>
      <c r="F100" s="49" t="inlineStr">
        <is>
          <t>DESCONOCIDO</t>
        </is>
      </c>
      <c r="G100" s="49" t="inlineStr">
        <is>
          <t>06/12/1989</t>
        </is>
      </c>
      <c r="H100" s="49" t="inlineStr">
        <is>
          <t xml:space="preserve">SUPIA                         </t>
        </is>
      </c>
      <c r="J100" s="78" t="inlineStr">
        <is>
          <t>LONDONO OCAMPO VIVIANA</t>
        </is>
      </c>
    </row>
    <row r="101">
      <c r="A101" s="78">
        <f>VALUE(maestro2[[#This Row],[Cedula]])</f>
        <v/>
      </c>
      <c r="B101" s="49" t="n">
        <v>24743274</v>
      </c>
      <c r="C101" s="49" t="inlineStr">
        <is>
          <t>GALLEGO MEJIA BEATRIZ HELENA</t>
        </is>
      </c>
      <c r="D101" s="89" t="inlineStr">
        <is>
          <t>CC</t>
        </is>
      </c>
      <c r="E101" s="89" t="inlineStr">
        <is>
          <t xml:space="preserve">MANIZALES                     </t>
        </is>
      </c>
      <c r="F101" s="49" t="inlineStr">
        <is>
          <t>DESCONOCIDO</t>
        </is>
      </c>
      <c r="G101" s="49" t="inlineStr">
        <is>
          <t>06/03/1990</t>
        </is>
      </c>
      <c r="H101" s="49" t="inlineStr">
        <is>
          <t xml:space="preserve">SUPIA                         </t>
        </is>
      </c>
      <c r="J101" s="78" t="inlineStr">
        <is>
          <t>GALLEGO MEJIA BEATRIZ HELENA</t>
        </is>
      </c>
    </row>
    <row r="102">
      <c r="A102" s="78">
        <f>VALUE(maestro2[[#This Row],[Cedula]])</f>
        <v/>
      </c>
      <c r="B102" s="49" t="n">
        <v>25215588</v>
      </c>
      <c r="C102" s="49" t="inlineStr">
        <is>
          <t>IGLESIAS ESCUDERO KELLY JOHANA</t>
        </is>
      </c>
      <c r="D102" s="89" t="inlineStr">
        <is>
          <t>CC</t>
        </is>
      </c>
      <c r="E102" s="89" t="inlineStr">
        <is>
          <t xml:space="preserve">CHINCHINA                     </t>
        </is>
      </c>
      <c r="F102" s="49" t="inlineStr">
        <is>
          <t>SOLTERO</t>
        </is>
      </c>
      <c r="G102" s="49" t="inlineStr">
        <is>
          <t>20/01/1987</t>
        </is>
      </c>
      <c r="H102" s="49" t="inlineStr">
        <is>
          <t xml:space="preserve">MEDELLÍN                      </t>
        </is>
      </c>
      <c r="J102" s="78" t="e">
        <v>#N/A</v>
      </c>
    </row>
    <row r="103">
      <c r="A103" s="78">
        <f>VALUE(maestro2[[#This Row],[Cedula]])</f>
        <v/>
      </c>
      <c r="B103" s="49" t="n">
        <v>30402718</v>
      </c>
      <c r="C103" s="49" t="inlineStr">
        <is>
          <t>HURTADO SALAZAR RUTH LYOMAR</t>
        </is>
      </c>
      <c r="D103" s="89" t="inlineStr">
        <is>
          <t>CC</t>
        </is>
      </c>
      <c r="E103" s="89" t="inlineStr">
        <is>
          <t xml:space="preserve">EL ENCANTO                    </t>
        </is>
      </c>
      <c r="F103" s="49" t="inlineStr">
        <is>
          <t>CASADO</t>
        </is>
      </c>
      <c r="G103" s="49" t="inlineStr">
        <is>
          <t>24/11/1984</t>
        </is>
      </c>
      <c r="H103" s="49" t="inlineStr">
        <is>
          <t xml:space="preserve">SUPIA                         </t>
        </is>
      </c>
      <c r="J103" s="78" t="inlineStr">
        <is>
          <t>HURTADO SALAZAR RUTH LYOMAR</t>
        </is>
      </c>
    </row>
    <row r="104">
      <c r="A104" s="78">
        <f>VALUE(maestro2[[#This Row],[Cedula]])</f>
        <v/>
      </c>
      <c r="B104" s="49" t="n">
        <v>33994016</v>
      </c>
      <c r="C104" s="49" t="inlineStr">
        <is>
          <t>VALENCIA VALENCIA LUZ MARY</t>
        </is>
      </c>
      <c r="D104" s="89" t="inlineStr">
        <is>
          <t>CC</t>
        </is>
      </c>
      <c r="E104" s="89" t="inlineStr">
        <is>
          <t xml:space="preserve">MARMATO                       </t>
        </is>
      </c>
      <c r="F104" s="49" t="inlineStr">
        <is>
          <t>UNION LIBRE</t>
        </is>
      </c>
      <c r="G104" s="49" t="inlineStr">
        <is>
          <t>16/06/1986</t>
        </is>
      </c>
      <c r="H104" s="49" t="inlineStr">
        <is>
          <t xml:space="preserve">SUPIA                         </t>
        </is>
      </c>
      <c r="J104" s="78" t="e">
        <v>#N/A</v>
      </c>
    </row>
    <row r="105">
      <c r="A105" s="78">
        <f>VALUE(maestro2[[#This Row],[Cedula]])</f>
        <v/>
      </c>
      <c r="B105" s="49" t="n">
        <v>33994809</v>
      </c>
      <c r="C105" s="49" t="inlineStr">
        <is>
          <t>RANGEL CONDE OLGA</t>
        </is>
      </c>
      <c r="D105" s="89" t="inlineStr">
        <is>
          <t>CC</t>
        </is>
      </c>
      <c r="E105" s="89" t="inlineStr">
        <is>
          <t xml:space="preserve">MANIZALES                     </t>
        </is>
      </c>
      <c r="F105" s="49" t="inlineStr">
        <is>
          <t>UNION LIBRE</t>
        </is>
      </c>
      <c r="G105" s="49" t="inlineStr">
        <is>
          <t>06/04/1991</t>
        </is>
      </c>
      <c r="H105" s="49" t="inlineStr">
        <is>
          <t xml:space="preserve">SUPIA                         </t>
        </is>
      </c>
      <c r="J105" s="78" t="inlineStr">
        <is>
          <t>RANGEL CONDE OLGA</t>
        </is>
      </c>
    </row>
    <row r="106" ht="14.5" customHeight="1">
      <c r="A106" s="78">
        <f>VALUE(maestro2[[#This Row],[Cedula]])</f>
        <v/>
      </c>
      <c r="B106" s="49" t="n">
        <v>37547926</v>
      </c>
      <c r="C106" s="49" t="inlineStr">
        <is>
          <t>OSPINA SERRANO MARIA JULIANA</t>
        </is>
      </c>
      <c r="D106" s="89" t="inlineStr">
        <is>
          <t>CC</t>
        </is>
      </c>
      <c r="E106" s="89" t="inlineStr">
        <is>
          <t xml:space="preserve">RIOSUCIO                      </t>
        </is>
      </c>
      <c r="F106" s="49" t="inlineStr">
        <is>
          <t>CASADO</t>
        </is>
      </c>
      <c r="G106" s="49" t="inlineStr">
        <is>
          <t>28/04/1988</t>
        </is>
      </c>
      <c r="H106" s="49" t="inlineStr">
        <is>
          <t xml:space="preserve">MEDELLÍN                      </t>
        </is>
      </c>
      <c r="J106" s="78" t="inlineStr">
        <is>
          <t>OSPINA SERRANO MARIA JULIANA</t>
        </is>
      </c>
      <c r="L106" s="49" t="n"/>
      <c r="M106" s="109" t="n"/>
      <c r="N106" s="49" t="n"/>
      <c r="O106" s="49" t="n"/>
      <c r="P106" s="49" t="n"/>
      <c r="Q106" s="49" t="n"/>
      <c r="R106" s="49" t="n"/>
      <c r="S106" s="49" t="n"/>
      <c r="T106" s="108" t="n"/>
      <c r="U106" s="108" t="n"/>
      <c r="V106" s="108" t="n"/>
      <c r="W106" s="75" t="n"/>
      <c r="X106" s="75" t="n"/>
      <c r="Y106" s="75" t="n"/>
      <c r="Z106" s="49" t="n"/>
      <c r="AA106" s="49" t="n"/>
      <c r="AB106" s="49" t="n"/>
      <c r="AC106" s="49" t="n"/>
      <c r="AD106" s="49" t="n"/>
      <c r="AE106" s="49" t="n"/>
      <c r="AF106" s="75" t="n"/>
      <c r="AG106" s="75" t="n"/>
      <c r="AH106" s="75" t="n"/>
      <c r="AI106" s="75" t="n"/>
      <c r="AJ106" s="75" t="n"/>
      <c r="AK106" s="75" t="n"/>
      <c r="AL106" s="75" t="n"/>
      <c r="AM106" s="75" t="n"/>
      <c r="AN106" s="75" t="n"/>
      <c r="AO106" s="75" t="n"/>
      <c r="AP106" s="75" t="n"/>
      <c r="AQ106" s="75" t="n"/>
      <c r="AR106" s="75" t="n"/>
      <c r="AS106" s="75" t="n"/>
      <c r="AT106" s="75" t="n"/>
      <c r="AU106" s="75" t="n"/>
      <c r="AV106" s="75" t="n"/>
      <c r="AW106" s="75" t="n"/>
      <c r="AX106" s="75" t="n"/>
      <c r="AY106" s="75" t="n"/>
      <c r="AZ106" s="75" t="n"/>
      <c r="BA106" s="75" t="n"/>
      <c r="BB106" s="75" t="n"/>
      <c r="BC106" s="75" t="n"/>
      <c r="BD106" s="75" t="n"/>
      <c r="BE106" s="75" t="n"/>
      <c r="BF106" s="75" t="n"/>
      <c r="BG106" s="75" t="n"/>
      <c r="BH106" s="75" t="n"/>
      <c r="BI106" s="75" t="n"/>
      <c r="BJ106" s="75" t="n"/>
      <c r="BK106" s="75" t="n"/>
      <c r="BL106" s="75" t="n"/>
      <c r="BM106" s="75" t="n"/>
      <c r="BN106" s="75" t="n"/>
      <c r="BO106" s="75" t="n"/>
      <c r="BP106" s="75" t="n"/>
      <c r="BQ106" s="75" t="n"/>
      <c r="BR106" s="75" t="n"/>
      <c r="BS106" s="75" t="n"/>
      <c r="BT106" s="75" t="n"/>
      <c r="BU106" s="75" t="n"/>
      <c r="BV106" s="75" t="n"/>
      <c r="BW106" s="75" t="n"/>
      <c r="BX106" s="75" t="n"/>
      <c r="BY106" s="75" t="n"/>
      <c r="BZ106" s="75" t="n"/>
      <c r="CA106" s="75" t="n"/>
      <c r="CB106" s="75" t="n"/>
      <c r="CC106" s="75" t="n"/>
      <c r="CD106" s="75" t="n"/>
      <c r="CE106" s="75" t="n"/>
      <c r="CF106" s="75" t="n"/>
      <c r="CG106" s="75" t="n"/>
      <c r="CH106" s="75" t="n"/>
      <c r="CI106" s="75" t="n"/>
      <c r="CJ106" s="75" t="n"/>
      <c r="CK106" s="75" t="n"/>
      <c r="CL106" s="75" t="n"/>
      <c r="CM106" s="75" t="n"/>
      <c r="CN106" s="75" t="n"/>
      <c r="CO106" s="75" t="n"/>
      <c r="CP106" s="75" t="n"/>
      <c r="CQ106" s="75" t="n"/>
      <c r="CR106" s="75" t="n"/>
      <c r="CS106" s="75" t="n"/>
      <c r="CT106" s="75" t="n"/>
      <c r="CU106" s="75" t="n"/>
    </row>
    <row r="107" ht="14.5" customHeight="1">
      <c r="A107" s="78">
        <f>VALUE(maestro2[[#This Row],[Cedula]])</f>
        <v/>
      </c>
      <c r="B107" s="49" t="n">
        <v>39178636</v>
      </c>
      <c r="C107" s="49" t="inlineStr">
        <is>
          <t>GARCIA SANCHEZ MICHELLY</t>
        </is>
      </c>
      <c r="D107" s="89" t="inlineStr">
        <is>
          <t>CC</t>
        </is>
      </c>
      <c r="E107" s="89" t="inlineStr">
        <is>
          <t xml:space="preserve">RIOSUCIO                      </t>
        </is>
      </c>
      <c r="F107" s="49" t="inlineStr">
        <is>
          <t>SOLTERO</t>
        </is>
      </c>
      <c r="G107" s="49" t="inlineStr">
        <is>
          <t>06/09/1989</t>
        </is>
      </c>
      <c r="H107" s="49" t="inlineStr">
        <is>
          <t xml:space="preserve">SUPIA                         </t>
        </is>
      </c>
      <c r="J107" s="78" t="inlineStr">
        <is>
          <t>GARCIA SANCHEZ MICHELLY</t>
        </is>
      </c>
      <c r="L107" s="49" t="n"/>
      <c r="M107" s="49" t="n"/>
      <c r="N107" s="49" t="n"/>
      <c r="O107" s="49" t="n"/>
      <c r="P107" s="49" t="n"/>
      <c r="Q107" s="49" t="n"/>
      <c r="R107" s="49" t="n"/>
      <c r="S107" s="49" t="n"/>
      <c r="T107" s="108" t="n"/>
      <c r="U107" s="108" t="n"/>
      <c r="V107" s="108" t="n"/>
      <c r="W107" s="49" t="n"/>
      <c r="X107" s="49" t="n"/>
      <c r="Y107" s="49" t="n"/>
      <c r="Z107" s="49" t="n"/>
      <c r="AA107" s="49" t="n"/>
      <c r="AB107" s="49" t="n"/>
      <c r="AC107" s="49" t="n"/>
      <c r="AD107" s="49" t="n"/>
      <c r="AE107" s="49" t="n"/>
      <c r="AF107" s="49" t="n"/>
      <c r="AG107" s="49" t="n"/>
      <c r="AH107" s="49" t="n"/>
      <c r="AI107" s="49" t="n"/>
      <c r="AJ107" s="49" t="n"/>
      <c r="AK107" s="49" t="n"/>
      <c r="AL107" s="49" t="n"/>
      <c r="AM107" s="49" t="n"/>
      <c r="AN107" s="49" t="n"/>
      <c r="AO107" s="49" t="n"/>
      <c r="AP107" s="49" t="n"/>
      <c r="AQ107" s="49" t="n"/>
      <c r="AR107" s="49" t="n"/>
      <c r="AS107" s="49" t="n"/>
      <c r="AT107" s="49" t="n"/>
      <c r="AU107" s="49" t="n"/>
      <c r="AV107" s="49" t="n"/>
      <c r="AW107" s="49" t="n"/>
      <c r="AX107" s="49" t="n"/>
      <c r="AY107" s="49" t="n"/>
      <c r="AZ107" s="49" t="n"/>
      <c r="BA107" s="49" t="n"/>
      <c r="BB107" s="49" t="n"/>
      <c r="BC107" s="49" t="n"/>
      <c r="BD107" s="49" t="n"/>
      <c r="BE107" s="49" t="n"/>
      <c r="BF107" s="49" t="n"/>
      <c r="BG107" s="49" t="n"/>
      <c r="BH107" s="49" t="n"/>
      <c r="BI107" s="49" t="n"/>
      <c r="BJ107" s="49" t="n"/>
      <c r="BK107" s="49" t="n"/>
      <c r="BL107" s="49" t="n"/>
      <c r="BM107" s="49" t="n"/>
      <c r="BN107" s="49" t="n"/>
      <c r="BO107" s="49" t="n"/>
      <c r="BP107" s="49" t="n"/>
      <c r="BQ107" s="49" t="n"/>
      <c r="BR107" s="49" t="n"/>
      <c r="BS107" s="49" t="n"/>
      <c r="BT107" s="49" t="n"/>
      <c r="BU107" s="49" t="n"/>
      <c r="BV107" s="49" t="n"/>
      <c r="BW107" s="49" t="n"/>
      <c r="BX107" s="49" t="n"/>
      <c r="BY107" s="49" t="n"/>
      <c r="BZ107" s="49" t="n"/>
      <c r="CA107" s="49" t="n"/>
      <c r="CB107" s="49" t="n"/>
      <c r="CC107" s="49" t="n"/>
      <c r="CD107" s="49" t="n"/>
      <c r="CE107" s="49" t="n"/>
      <c r="CF107" s="75" t="n"/>
      <c r="CG107" s="75" t="n"/>
      <c r="CH107" s="75" t="n"/>
      <c r="CI107" s="75" t="n"/>
      <c r="CJ107" s="75" t="n"/>
      <c r="CK107" s="75" t="n"/>
      <c r="CL107" s="75" t="n"/>
      <c r="CM107" s="75" t="n"/>
      <c r="CN107" s="75" t="n"/>
      <c r="CO107" s="75" t="n"/>
      <c r="CP107" s="75" t="n"/>
      <c r="CQ107" s="75" t="n"/>
      <c r="CR107" s="75" t="n"/>
      <c r="CS107" s="75" t="n"/>
      <c r="CT107" s="75" t="n"/>
      <c r="CU107" s="75" t="n"/>
    </row>
    <row r="108">
      <c r="A108" s="78">
        <f>VALUE(maestro2[[#This Row],[Cedula]])</f>
        <v/>
      </c>
      <c r="B108" s="49" t="n">
        <v>56098617</v>
      </c>
      <c r="C108" s="49" t="inlineStr">
        <is>
          <t>CORZO CONTRERAS MARIA ANGELICA</t>
        </is>
      </c>
      <c r="D108" s="89" t="inlineStr">
        <is>
          <t>CC</t>
        </is>
      </c>
      <c r="E108" s="89" t="inlineStr">
        <is>
          <t xml:space="preserve">RIOSUCIO                      </t>
        </is>
      </c>
      <c r="F108" s="49" t="inlineStr">
        <is>
          <t>SOLTERO</t>
        </is>
      </c>
      <c r="G108" s="49" t="inlineStr">
        <is>
          <t>14/11/1991</t>
        </is>
      </c>
      <c r="H108" s="49" t="inlineStr">
        <is>
          <t xml:space="preserve">SUPIA                         </t>
        </is>
      </c>
      <c r="J108" s="78" t="inlineStr">
        <is>
          <t>CORZO CONTRERAS MARIA ANGELICA</t>
        </is>
      </c>
    </row>
    <row r="109">
      <c r="A109" s="78">
        <f>VALUE(maestro2[[#This Row],[Cedula]])</f>
        <v/>
      </c>
      <c r="B109" s="49" t="n">
        <v>5916737</v>
      </c>
      <c r="C109" s="49" t="inlineStr">
        <is>
          <t>CARDENAS MARTIN ROBINSON LEONARDO</t>
        </is>
      </c>
      <c r="D109" s="89" t="inlineStr">
        <is>
          <t>CC</t>
        </is>
      </c>
      <c r="E109" s="89" t="inlineStr">
        <is>
          <t xml:space="preserve">RIOSUCIO                      </t>
        </is>
      </c>
      <c r="F109" s="49" t="inlineStr">
        <is>
          <t>SOLTERO</t>
        </is>
      </c>
      <c r="G109" s="49" t="inlineStr">
        <is>
          <t>31/10/1991</t>
        </is>
      </c>
      <c r="H109" s="49" t="inlineStr">
        <is>
          <t xml:space="preserve">SUPIA                         </t>
        </is>
      </c>
      <c r="J109" s="78" t="inlineStr">
        <is>
          <t>CARDENAS MARTIN ROBINSON LEONARDO</t>
        </is>
      </c>
    </row>
    <row r="110">
      <c r="A110" s="78">
        <f>VALUE(maestro2[[#This Row],[Cedula]])</f>
        <v/>
      </c>
      <c r="B110" s="49" t="n">
        <v>63548653</v>
      </c>
      <c r="C110" s="49" t="inlineStr">
        <is>
          <t>HERNANDEZ ARIAS NATALIA ANDREA</t>
        </is>
      </c>
      <c r="D110" s="89" t="inlineStr">
        <is>
          <t>CC</t>
        </is>
      </c>
      <c r="E110" s="89" t="inlineStr">
        <is>
          <t xml:space="preserve">RIOSUCIO                      </t>
        </is>
      </c>
      <c r="F110" s="49" t="inlineStr">
        <is>
          <t>SOLTERO</t>
        </is>
      </c>
      <c r="G110" s="49" t="inlineStr">
        <is>
          <t>11/11/2000</t>
        </is>
      </c>
      <c r="H110" s="49" t="inlineStr">
        <is>
          <t xml:space="preserve">SUPIA                         </t>
        </is>
      </c>
      <c r="J110" s="78" t="inlineStr">
        <is>
          <t>HERNANDEZ ARIAS NATALIA ANDREA</t>
        </is>
      </c>
    </row>
    <row r="111">
      <c r="A111" s="78">
        <f>VALUE(maestro2[[#This Row],[Cedula]])</f>
        <v/>
      </c>
      <c r="B111" s="49" t="n">
        <v>6615269</v>
      </c>
      <c r="C111" s="49" t="inlineStr">
        <is>
          <t>OROPEZA MENDOZA VICTOR MANUEL</t>
        </is>
      </c>
      <c r="D111" s="89" t="inlineStr">
        <is>
          <t>CC</t>
        </is>
      </c>
      <c r="E111" s="89" t="inlineStr">
        <is>
          <t xml:space="preserve">SALAMINA                      </t>
        </is>
      </c>
      <c r="F111" s="49" t="inlineStr">
        <is>
          <t>SOLTERO</t>
        </is>
      </c>
      <c r="G111" s="49" t="inlineStr">
        <is>
          <t>01/09/2000</t>
        </is>
      </c>
      <c r="H111" s="49" t="inlineStr">
        <is>
          <t xml:space="preserve">SUPIA                         </t>
        </is>
      </c>
      <c r="J111" s="78" t="e">
        <v>#N/A</v>
      </c>
    </row>
    <row r="112">
      <c r="A112" s="78">
        <f>VALUE(maestro2[[#This Row],[Cedula]])</f>
        <v/>
      </c>
      <c r="B112" s="49" t="n">
        <v>71315693</v>
      </c>
      <c r="C112" s="49" t="inlineStr">
        <is>
          <t>BENITEZ CORREA JUAN DIEGO</t>
        </is>
      </c>
      <c r="D112" s="89" t="inlineStr">
        <is>
          <t>CC</t>
        </is>
      </c>
      <c r="E112" s="89" t="inlineStr">
        <is>
          <t xml:space="preserve">SUPIA                         </t>
        </is>
      </c>
      <c r="F112" s="49" t="inlineStr">
        <is>
          <t>CASADO</t>
        </is>
      </c>
      <c r="G112" s="49" t="inlineStr">
        <is>
          <t>08/12/1977</t>
        </is>
      </c>
      <c r="H112" s="49" t="inlineStr">
        <is>
          <t xml:space="preserve">MEDELLÍN                      </t>
        </is>
      </c>
      <c r="J112" s="78" t="e">
        <v>#N/A</v>
      </c>
    </row>
    <row r="113">
      <c r="A113" s="78">
        <f>VALUE(maestro2[[#This Row],[Cedula]])</f>
        <v/>
      </c>
      <c r="B113" s="49" t="n">
        <v>74188499</v>
      </c>
      <c r="C113" s="49" t="inlineStr">
        <is>
          <t>PALACIOS ALVARADO CESAR AUGUSTO</t>
        </is>
      </c>
      <c r="D113" s="89" t="inlineStr">
        <is>
          <t>CC</t>
        </is>
      </c>
      <c r="E113" s="89" t="inlineStr">
        <is>
          <t xml:space="preserve">SUPIA                         </t>
        </is>
      </c>
      <c r="F113" s="49" t="inlineStr">
        <is>
          <t>CASADO</t>
        </is>
      </c>
      <c r="G113" s="49" t="inlineStr">
        <is>
          <t>10/01/1985</t>
        </is>
      </c>
      <c r="H113" s="49" t="inlineStr">
        <is>
          <t xml:space="preserve">MEDELLÍN                      </t>
        </is>
      </c>
      <c r="J113" s="78" t="e">
        <v>#N/A</v>
      </c>
    </row>
    <row r="114">
      <c r="A114" s="78">
        <f>VALUE(maestro2[[#This Row],[Cedula]])</f>
        <v/>
      </c>
      <c r="B114" s="49" t="n">
        <v>74188504</v>
      </c>
      <c r="C114" s="49" t="inlineStr">
        <is>
          <t>CARDENAS REYES JAIRO ALONSO</t>
        </is>
      </c>
      <c r="D114" s="89" t="inlineStr">
        <is>
          <t>CC</t>
        </is>
      </c>
      <c r="E114" s="89" t="inlineStr">
        <is>
          <t xml:space="preserve">SUPIA                         </t>
        </is>
      </c>
      <c r="F114" s="49" t="inlineStr">
        <is>
          <t>CASADO</t>
        </is>
      </c>
      <c r="G114" s="49" t="inlineStr">
        <is>
          <t>26/01/1978</t>
        </is>
      </c>
      <c r="H114" s="49" t="inlineStr">
        <is>
          <t xml:space="preserve">SUPIA                         </t>
        </is>
      </c>
      <c r="J114" s="78" t="e">
        <v>#N/A</v>
      </c>
    </row>
    <row r="115">
      <c r="A115" s="78">
        <f>VALUE(maestro2[[#This Row],[Cedula]])</f>
        <v/>
      </c>
      <c r="B115" s="49" t="n">
        <v>74382199</v>
      </c>
      <c r="C115" s="49" t="inlineStr">
        <is>
          <t>HIGUERA GARZON RODOLFO</t>
        </is>
      </c>
      <c r="D115" s="89" t="inlineStr">
        <is>
          <t>CC</t>
        </is>
      </c>
      <c r="E115" s="89" t="inlineStr">
        <is>
          <t xml:space="preserve">SUPIA                         </t>
        </is>
      </c>
      <c r="F115" s="49" t="inlineStr">
        <is>
          <t>SOLTERO</t>
        </is>
      </c>
      <c r="G115" s="49" t="inlineStr">
        <is>
          <t>14/03/1967</t>
        </is>
      </c>
      <c r="H115" s="49" t="inlineStr">
        <is>
          <t xml:space="preserve">SUPIA                         </t>
        </is>
      </c>
      <c r="J115" s="78" t="inlineStr">
        <is>
          <t>HIGUERA GARZON RODOLFO</t>
        </is>
      </c>
    </row>
    <row r="116">
      <c r="A116" s="78">
        <f>VALUE(maestro2[[#This Row],[Cedula]])</f>
        <v/>
      </c>
      <c r="B116" s="49" t="n">
        <v>75065818</v>
      </c>
      <c r="C116" s="49" t="inlineStr">
        <is>
          <t>VALLEJO LONDOÑO ROBINSON</t>
        </is>
      </c>
      <c r="D116" s="89" t="inlineStr">
        <is>
          <t>CC</t>
        </is>
      </c>
      <c r="E116" s="89" t="inlineStr">
        <is>
          <t xml:space="preserve">SUPIA                         </t>
        </is>
      </c>
      <c r="F116" s="49" t="inlineStr">
        <is>
          <t>UNION LIBRE</t>
        </is>
      </c>
      <c r="G116" s="49" t="inlineStr">
        <is>
          <t>11/12/1971</t>
        </is>
      </c>
      <c r="H116" s="49" t="inlineStr">
        <is>
          <t xml:space="preserve">MARMATO                       </t>
        </is>
      </c>
      <c r="J116" s="78" t="inlineStr">
        <is>
          <t>ROBINSON  VALLEJO LONDOÑO</t>
        </is>
      </c>
    </row>
    <row r="117">
      <c r="A117" s="78">
        <f>VALUE(maestro2[[#This Row],[Cedula]])</f>
        <v/>
      </c>
      <c r="B117" s="49" t="n">
        <v>75067991</v>
      </c>
      <c r="C117" s="49" t="inlineStr">
        <is>
          <t>VALLEJO VALLEJO CARLOS ELIAS</t>
        </is>
      </c>
      <c r="D117" s="89" t="inlineStr">
        <is>
          <t>CC</t>
        </is>
      </c>
      <c r="E117" s="89" t="inlineStr">
        <is>
          <t xml:space="preserve">SUPIA                         </t>
        </is>
      </c>
      <c r="F117" s="49" t="inlineStr">
        <is>
          <t>SOLTERO</t>
        </is>
      </c>
      <c r="G117" s="49" t="inlineStr">
        <is>
          <t>26/02/1976</t>
        </is>
      </c>
      <c r="H117" s="49" t="inlineStr">
        <is>
          <t xml:space="preserve">MARMATO                       </t>
        </is>
      </c>
      <c r="J117" s="78" t="e">
        <v>#N/A</v>
      </c>
    </row>
    <row r="118">
      <c r="A118" s="78">
        <f>VALUE(maestro2[[#This Row],[Cedula]])</f>
        <v/>
      </c>
      <c r="B118" s="49" t="n">
        <v>75079022</v>
      </c>
      <c r="C118" s="49" t="inlineStr">
        <is>
          <t>CRUZ SANCHEZ MAURICIO JAVIER</t>
        </is>
      </c>
      <c r="D118" s="89" t="inlineStr">
        <is>
          <t>CC</t>
        </is>
      </c>
      <c r="E118" s="89" t="inlineStr">
        <is>
          <t xml:space="preserve">SUPIA                         </t>
        </is>
      </c>
      <c r="F118" s="49" t="inlineStr">
        <is>
          <t>SOLTERO</t>
        </is>
      </c>
      <c r="G118" s="49" t="inlineStr">
        <is>
          <t>10/11/1981</t>
        </is>
      </c>
      <c r="H118" s="49" t="inlineStr">
        <is>
          <t xml:space="preserve">SUPIA                         </t>
        </is>
      </c>
      <c r="J118" s="78" t="inlineStr">
        <is>
          <t>CRUZ SANCHEZ MAURICIO JAVIER</t>
        </is>
      </c>
    </row>
    <row r="119">
      <c r="A119" s="78">
        <f>VALUE(maestro2[[#This Row],[Cedula]])</f>
        <v/>
      </c>
      <c r="B119" s="49" t="n">
        <v>75097562</v>
      </c>
      <c r="C119" s="49" t="inlineStr">
        <is>
          <t>CASTAÑO CASTRO MARIO ANDRES</t>
        </is>
      </c>
      <c r="D119" s="89" t="inlineStr">
        <is>
          <t>CC</t>
        </is>
      </c>
      <c r="E119" s="89" t="inlineStr">
        <is>
          <t xml:space="preserve">SUPIA                         </t>
        </is>
      </c>
      <c r="F119" s="49" t="inlineStr">
        <is>
          <t>UNION LIBRE</t>
        </is>
      </c>
      <c r="G119" s="49" t="inlineStr">
        <is>
          <t>30/11/1981</t>
        </is>
      </c>
      <c r="H119" s="49" t="inlineStr">
        <is>
          <t xml:space="preserve">SUPIA                         </t>
        </is>
      </c>
      <c r="J119" s="78" t="inlineStr">
        <is>
          <t>CASTAÑO CASTRO MARIO ANDRES</t>
        </is>
      </c>
    </row>
    <row r="120">
      <c r="A120" s="78">
        <f>VALUE(maestro2[[#This Row],[Cedula]])</f>
        <v/>
      </c>
      <c r="B120" s="49" t="n">
        <v>75102710</v>
      </c>
      <c r="C120" s="49" t="inlineStr">
        <is>
          <t>SUAREZ GOMEZ ALEJANDRO</t>
        </is>
      </c>
      <c r="D120" s="89" t="inlineStr">
        <is>
          <t>CC</t>
        </is>
      </c>
      <c r="E120" s="89" t="inlineStr">
        <is>
          <t xml:space="preserve">SUPIA                         </t>
        </is>
      </c>
      <c r="F120" s="49" t="inlineStr">
        <is>
          <t>DESCONOCIDO</t>
        </is>
      </c>
      <c r="G120" s="49" t="inlineStr">
        <is>
          <t>29/08/1985</t>
        </is>
      </c>
      <c r="H120" s="49" t="inlineStr">
        <is>
          <t xml:space="preserve">SUPIA                         </t>
        </is>
      </c>
      <c r="J120" s="78" t="inlineStr">
        <is>
          <t>SUAREZ GOMEZ ALEJANDRO</t>
        </is>
      </c>
    </row>
    <row r="121">
      <c r="A121" s="78">
        <f>VALUE(maestro2[[#This Row],[Cedula]])</f>
        <v/>
      </c>
      <c r="B121" s="49" t="n">
        <v>75103216</v>
      </c>
      <c r="C121" s="49" t="inlineStr">
        <is>
          <t>OSPINA HINCAPIE HECTOR DAVID</t>
        </is>
      </c>
      <c r="D121" s="89" t="inlineStr">
        <is>
          <t>CC</t>
        </is>
      </c>
      <c r="E121" s="89" t="inlineStr">
        <is>
          <t xml:space="preserve">SUPIA                         </t>
        </is>
      </c>
      <c r="F121" s="49" t="inlineStr">
        <is>
          <t>SOLTERO</t>
        </is>
      </c>
      <c r="G121" s="49" t="inlineStr">
        <is>
          <t>12/09/1985</t>
        </is>
      </c>
      <c r="H121" s="49" t="inlineStr">
        <is>
          <t xml:space="preserve">MARMATO                       </t>
        </is>
      </c>
      <c r="J121" s="78" t="inlineStr">
        <is>
          <t>OSPINA HINCAPIE HECTOR DAVID</t>
        </is>
      </c>
    </row>
    <row r="122">
      <c r="A122" s="78">
        <f>VALUE(maestro2[[#This Row],[Cedula]])</f>
        <v/>
      </c>
      <c r="B122" s="49" t="n">
        <v>75103472</v>
      </c>
      <c r="C122" s="49" t="inlineStr">
        <is>
          <t>CANAS FRANCO DIEGO EDISON</t>
        </is>
      </c>
      <c r="D122" s="89" t="inlineStr">
        <is>
          <t>CC</t>
        </is>
      </c>
      <c r="E122" s="89" t="inlineStr">
        <is>
          <t xml:space="preserve">SUPIA                         </t>
        </is>
      </c>
      <c r="F122" s="49" t="inlineStr">
        <is>
          <t>DESCONOCIDO</t>
        </is>
      </c>
      <c r="G122" s="49" t="inlineStr">
        <is>
          <t>22/05/1985</t>
        </is>
      </c>
      <c r="H122" s="49" t="inlineStr">
        <is>
          <t xml:space="preserve">SUPIA                         </t>
        </is>
      </c>
      <c r="J122" s="78" t="e">
        <v>#N/A</v>
      </c>
    </row>
    <row r="123">
      <c r="A123" s="78">
        <f>VALUE(maestro2[[#This Row],[Cedula]])</f>
        <v/>
      </c>
      <c r="B123" s="49" t="n">
        <v>75107139</v>
      </c>
      <c r="C123" s="49" t="inlineStr">
        <is>
          <t>GIRALDO MORALES JONATHAN</t>
        </is>
      </c>
      <c r="D123" s="89" t="inlineStr">
        <is>
          <t>CC</t>
        </is>
      </c>
      <c r="E123" s="89" t="inlineStr">
        <is>
          <t xml:space="preserve">SUPIA                         </t>
        </is>
      </c>
      <c r="F123" s="49" t="inlineStr">
        <is>
          <t>UNION LIBRE</t>
        </is>
      </c>
      <c r="G123" s="49" t="inlineStr">
        <is>
          <t>23/09/1979</t>
        </is>
      </c>
      <c r="H123" s="49" t="inlineStr">
        <is>
          <t xml:space="preserve">SUPIA                         </t>
        </is>
      </c>
      <c r="J123" s="78" t="inlineStr">
        <is>
          <t>GIRALDO MORALES JONATHAN</t>
        </is>
      </c>
    </row>
    <row r="124">
      <c r="A124" s="78">
        <f>VALUE(maestro2[[#This Row],[Cedula]])</f>
        <v/>
      </c>
      <c r="B124" s="49" t="n">
        <v>75144193</v>
      </c>
      <c r="C124" s="49" t="inlineStr">
        <is>
          <t>TANGARIFE GONZALEZ JORGE HUGO</t>
        </is>
      </c>
      <c r="D124" s="89" t="inlineStr">
        <is>
          <t>CC</t>
        </is>
      </c>
      <c r="E124" s="89" t="inlineStr">
        <is>
          <t xml:space="preserve">SUPIA                         </t>
        </is>
      </c>
      <c r="F124" s="49" t="inlineStr">
        <is>
          <t>UNION LIBRE</t>
        </is>
      </c>
      <c r="G124" s="49" t="inlineStr">
        <is>
          <t>23/09/1979</t>
        </is>
      </c>
      <c r="H124" s="49" t="inlineStr">
        <is>
          <t xml:space="preserve">SUPIA                         </t>
        </is>
      </c>
      <c r="J124" s="78" t="inlineStr">
        <is>
          <t>TANGARIFE GONZALEZ JORGE HUGO</t>
        </is>
      </c>
    </row>
    <row r="125">
      <c r="A125" s="78">
        <f>VALUE(maestro2[[#This Row],[Cedula]])</f>
        <v/>
      </c>
      <c r="B125" s="49" t="n">
        <v>79627976</v>
      </c>
      <c r="C125" s="49" t="inlineStr">
        <is>
          <t>SANTOS NIETO CARLOS ANDRES</t>
        </is>
      </c>
      <c r="D125" s="89" t="inlineStr">
        <is>
          <t>CC</t>
        </is>
      </c>
      <c r="E125" s="89" t="inlineStr">
        <is>
          <t xml:space="preserve">SUPIA                         </t>
        </is>
      </c>
      <c r="F125" s="49" t="inlineStr">
        <is>
          <t>UNION LIBRE</t>
        </is>
      </c>
      <c r="G125" s="49" t="inlineStr">
        <is>
          <t>23/09/1979</t>
        </is>
      </c>
      <c r="H125" s="49" t="inlineStr">
        <is>
          <t xml:space="preserve">SUPIA                         </t>
        </is>
      </c>
      <c r="J125" s="78" t="e">
        <v>#N/A</v>
      </c>
    </row>
    <row r="126">
      <c r="A126" s="78">
        <f>VALUE(maestro2[[#This Row],[Cedula]])</f>
        <v/>
      </c>
      <c r="B126" s="49" t="n">
        <v>79748522</v>
      </c>
      <c r="C126" s="49" t="inlineStr">
        <is>
          <t>PEÑUELA GOMEZ JAIME HUMBERTO</t>
        </is>
      </c>
      <c r="D126" s="89" t="inlineStr">
        <is>
          <t>CC</t>
        </is>
      </c>
      <c r="E126" s="89" t="inlineStr">
        <is>
          <t xml:space="preserve">MANIZALES                     </t>
        </is>
      </c>
      <c r="F126" s="49" t="n"/>
      <c r="G126" s="49" t="n"/>
      <c r="H126" s="49" t="n"/>
      <c r="J126" s="78" t="e">
        <v>#N/A</v>
      </c>
    </row>
    <row r="127">
      <c r="A127" s="78">
        <f>VALUE(maestro2[[#This Row],[Cedula]])</f>
        <v/>
      </c>
      <c r="B127" s="49" t="n">
        <v>79940849</v>
      </c>
      <c r="C127" s="49" t="inlineStr">
        <is>
          <t>CASTIBLANCO ORTIZ EDGAR</t>
        </is>
      </c>
      <c r="D127" s="89" t="inlineStr">
        <is>
          <t>CC</t>
        </is>
      </c>
      <c r="E127" s="89" t="inlineStr">
        <is>
          <t xml:space="preserve">MONTERIA                      </t>
        </is>
      </c>
      <c r="F127" s="49" t="n"/>
      <c r="G127" s="49" t="n"/>
      <c r="H127" s="49" t="n"/>
      <c r="J127" s="78" t="inlineStr">
        <is>
          <t>CASTIBLANCO ORTIZ EDGAR</t>
        </is>
      </c>
    </row>
    <row r="128">
      <c r="A128" s="78">
        <f>VALUE(maestro2[[#This Row],[Cedula]])</f>
        <v/>
      </c>
      <c r="B128" s="49" t="n">
        <v>80014013</v>
      </c>
      <c r="C128" s="49" t="inlineStr">
        <is>
          <t>ESPITIA MONTOYA IVAN DARIO</t>
        </is>
      </c>
      <c r="D128" s="89" t="inlineStr">
        <is>
          <t>CC</t>
        </is>
      </c>
      <c r="E128" s="92" t="n"/>
      <c r="F128" s="93" t="n"/>
      <c r="G128" s="93" t="n"/>
      <c r="H128" s="93" t="n"/>
      <c r="J128" s="78" t="inlineStr">
        <is>
          <t>ESPITIA MONTOYA IVAN DARIO</t>
        </is>
      </c>
    </row>
    <row r="129">
      <c r="A129" s="78">
        <f>VALUE(maestro2[[#This Row],[Cedula]])</f>
        <v/>
      </c>
      <c r="B129" s="49" t="n">
        <v>80061533</v>
      </c>
      <c r="C129" s="49" t="inlineStr">
        <is>
          <t>HERNANDEZ VERANO SERGIO ANDRES</t>
        </is>
      </c>
      <c r="D129" s="92" t="n"/>
      <c r="E129" s="92" t="n"/>
      <c r="F129" s="93" t="n"/>
      <c r="G129" s="93" t="n"/>
      <c r="H129" s="93" t="n"/>
      <c r="J129" s="78" t="inlineStr">
        <is>
          <t>HERNANDEZ VERANO SERGIO ANDRES</t>
        </is>
      </c>
    </row>
    <row r="130">
      <c r="A130" s="78">
        <f>VALUE(maestro2[[#This Row],[Cedula]])</f>
        <v/>
      </c>
      <c r="B130" s="49" t="n">
        <v>80083229</v>
      </c>
      <c r="C130" s="49" t="inlineStr">
        <is>
          <t>GUZMAN MONTANEZ JORGE ELIECER</t>
        </is>
      </c>
      <c r="D130" s="89" t="n"/>
      <c r="E130" s="89" t="n"/>
      <c r="F130" s="49" t="n"/>
      <c r="G130" s="49" t="n"/>
      <c r="H130" s="49" t="n"/>
      <c r="J130" s="78" t="inlineStr">
        <is>
          <t>GUZMAN MONTANEZ JORGE ELIECER</t>
        </is>
      </c>
    </row>
    <row r="131">
      <c r="A131" s="78">
        <f>VALUE(maestro2[[#This Row],[Cedula]])</f>
        <v/>
      </c>
      <c r="B131" s="49" t="n">
        <v>80203035</v>
      </c>
      <c r="C131" s="49" t="inlineStr">
        <is>
          <t>SABRICA BUENDIA CARLOS ANDRES</t>
        </is>
      </c>
      <c r="D131" s="89" t="n"/>
      <c r="E131" s="89" t="n"/>
      <c r="F131" s="49" t="n"/>
      <c r="G131" s="49" t="n"/>
      <c r="H131" s="49" t="n"/>
      <c r="J131" s="78" t="e">
        <v>#N/A</v>
      </c>
    </row>
    <row r="132">
      <c r="A132" s="78">
        <f>VALUE(maestro2[[#This Row],[Cedula]])</f>
        <v/>
      </c>
      <c r="B132" s="49" t="n">
        <v>8239369</v>
      </c>
      <c r="C132" s="49" t="inlineStr">
        <is>
          <t>CARDOSO MARACAJA RAPHAEL CAPELLA</t>
        </is>
      </c>
      <c r="D132" s="89" t="n"/>
      <c r="E132" s="89" t="n"/>
      <c r="F132" s="49" t="n"/>
      <c r="G132" s="49" t="n"/>
      <c r="H132" s="49" t="n"/>
      <c r="J132" s="78" t="e">
        <v>#N/A</v>
      </c>
    </row>
    <row r="133">
      <c r="A133" s="78">
        <f>VALUE(maestro2[[#This Row],[Cedula]])</f>
        <v/>
      </c>
      <c r="B133" s="49" t="n">
        <v>86086222</v>
      </c>
      <c r="C133" s="49" t="inlineStr">
        <is>
          <t>CARMONA QUIROZ MARIO FERNANDO</t>
        </is>
      </c>
      <c r="D133" s="89" t="n"/>
      <c r="E133" s="89" t="n"/>
      <c r="F133" s="49" t="n"/>
      <c r="G133" s="49" t="n"/>
      <c r="H133" s="49" t="n"/>
      <c r="J133" s="78" t="inlineStr">
        <is>
          <t>CARMONA QUIROZ MARIO FERNANDO</t>
        </is>
      </c>
    </row>
    <row r="134">
      <c r="A134" s="78">
        <f>VALUE(maestro2[[#This Row],[Cedula]])</f>
        <v/>
      </c>
      <c r="B134" s="49" t="n">
        <v>91531957</v>
      </c>
      <c r="C134" s="49" t="inlineStr">
        <is>
          <t>RODRGUEZ ROJAS JOSE ANTONIO</t>
        </is>
      </c>
      <c r="D134" s="89" t="n"/>
      <c r="E134" s="89" t="n"/>
      <c r="F134" s="49" t="n"/>
      <c r="G134" s="49" t="n"/>
      <c r="H134" s="49" t="n"/>
      <c r="J134" s="78" t="e">
        <v>#N/A</v>
      </c>
    </row>
    <row r="135">
      <c r="A135" s="78">
        <f>VALUE(maestro2[[#This Row],[Cedula]])</f>
        <v/>
      </c>
      <c r="B135" s="49" t="n">
        <v>93341202</v>
      </c>
      <c r="C135" s="49" t="inlineStr">
        <is>
          <t>HIDALGO CASTILLO YESID</t>
        </is>
      </c>
      <c r="D135" s="89" t="n"/>
      <c r="E135" s="89" t="n"/>
      <c r="F135" s="49" t="n"/>
      <c r="G135" s="49" t="n"/>
      <c r="H135" s="49" t="n"/>
      <c r="J135" s="78" t="inlineStr">
        <is>
          <t>HIDALGO CASTILLO YESID</t>
        </is>
      </c>
    </row>
    <row r="136">
      <c r="A136" s="78">
        <f>VALUE(maestro2[[#This Row],[Cedula]])</f>
        <v/>
      </c>
      <c r="B136" s="49" t="n">
        <v>1001014188</v>
      </c>
      <c r="C136" s="49" t="inlineStr">
        <is>
          <t>TILANO MONTOYA LAURA</t>
        </is>
      </c>
      <c r="D136" s="89" t="n"/>
      <c r="E136" s="89" t="n"/>
      <c r="F136" s="49" t="n"/>
      <c r="G136" s="49" t="n"/>
      <c r="H136" s="49" t="n"/>
      <c r="J136" s="78" t="e">
        <v>#N/A</v>
      </c>
    </row>
    <row r="137">
      <c r="A137" s="78">
        <f>VALUE(maestro2[[#This Row],[Cedula]])</f>
        <v/>
      </c>
      <c r="B137" s="49" t="n">
        <v>1001603682</v>
      </c>
      <c r="C137" s="49" t="inlineStr">
        <is>
          <t>OCAMPO PALACO SERGIO ANDRES</t>
        </is>
      </c>
      <c r="J137" s="78" t="inlineStr">
        <is>
          <t>OCAMPO PALACO SERGIO ANDRES</t>
        </is>
      </c>
    </row>
    <row r="138">
      <c r="A138" s="78">
        <f>VALUE(maestro2[[#This Row],[Cedula]])</f>
        <v/>
      </c>
      <c r="B138" s="49" t="n">
        <v>1002591008</v>
      </c>
      <c r="C138" s="49" t="inlineStr">
        <is>
          <t>LONDOÑO GIL SIMON</t>
        </is>
      </c>
      <c r="J138" s="78" t="e">
        <v>#N/A</v>
      </c>
    </row>
    <row r="139">
      <c r="A139" s="78">
        <f>VALUE(maestro2[[#This Row],[Cedula]])</f>
        <v/>
      </c>
      <c r="B139" s="49" t="n">
        <v>1002754987</v>
      </c>
      <c r="C139" s="49" t="inlineStr">
        <is>
          <t>RAMIREZ SANCHEZ JIMENA</t>
        </is>
      </c>
      <c r="J139" s="78" t="e">
        <v>#N/A</v>
      </c>
    </row>
    <row r="140">
      <c r="A140" s="78">
        <f>VALUE(maestro2[[#This Row],[Cedula]])</f>
        <v/>
      </c>
      <c r="B140" s="49" t="n">
        <v>1002814576</v>
      </c>
      <c r="C140" s="49" t="inlineStr">
        <is>
          <t>MORENO LARGO JHAN CARLOS</t>
        </is>
      </c>
      <c r="D140" s="89" t="n"/>
      <c r="E140" s="89" t="n"/>
      <c r="F140" s="49" t="n"/>
      <c r="G140" s="49" t="n"/>
      <c r="H140" s="49" t="n"/>
      <c r="J140" s="78" t="inlineStr">
        <is>
          <t>MORENO LARGO JHAN CARLOS</t>
        </is>
      </c>
    </row>
    <row r="141">
      <c r="A141" s="78">
        <f>VALUE(maestro2[[#This Row],[Cedula]])</f>
        <v/>
      </c>
      <c r="B141" s="49" t="n">
        <v>1002900089</v>
      </c>
      <c r="C141" s="49" t="inlineStr">
        <is>
          <t>MORENO QUINCHIA SEBASTIAN</t>
        </is>
      </c>
      <c r="D141" s="89" t="n"/>
      <c r="E141" s="89" t="n"/>
      <c r="F141" s="49" t="n"/>
      <c r="G141" s="49" t="n"/>
      <c r="H141" s="49" t="n"/>
      <c r="J141" s="78" t="e">
        <v>#N/A</v>
      </c>
    </row>
    <row r="142">
      <c r="A142" s="78">
        <f>VALUE(maestro2[[#This Row],[Cedula]])</f>
        <v/>
      </c>
      <c r="B142" s="49" t="n">
        <v>1002900275</v>
      </c>
      <c r="C142" s="49" t="inlineStr">
        <is>
          <t>VELARDE MARULANDA YULIANA</t>
        </is>
      </c>
      <c r="D142" s="89" t="n"/>
      <c r="E142" s="89" t="n"/>
      <c r="F142" s="49" t="n"/>
      <c r="G142" s="49" t="n"/>
      <c r="H142" s="49" t="n"/>
      <c r="J142" s="78" t="inlineStr">
        <is>
          <t>VELARDE MARULANDA YULIANA</t>
        </is>
      </c>
    </row>
    <row r="143">
      <c r="A143" s="78">
        <f>VALUE(maestro2[[#This Row],[Cedula]])</f>
        <v/>
      </c>
      <c r="B143" s="49" t="n">
        <v>1002900482</v>
      </c>
      <c r="C143" s="49" t="inlineStr">
        <is>
          <t>HIGINIO CRUZ DANNA GERALDINE</t>
        </is>
      </c>
      <c r="D143" s="89" t="n"/>
      <c r="E143" s="89" t="n"/>
      <c r="F143" s="49" t="n"/>
      <c r="G143" s="49" t="n"/>
      <c r="H143" s="49" t="n"/>
      <c r="J143" s="78" t="inlineStr">
        <is>
          <t>HIGINIO CRUZ DANNA GERALDINE</t>
        </is>
      </c>
    </row>
    <row r="144">
      <c r="A144" s="78">
        <f>VALUE(maestro2[[#This Row],[Cedula]])</f>
        <v/>
      </c>
      <c r="B144" s="49" t="n">
        <v>1002900779</v>
      </c>
      <c r="C144" s="49" t="inlineStr">
        <is>
          <t>RODRIGUEZ FLOREZ JUAN FELIPE</t>
        </is>
      </c>
      <c r="D144" s="89" t="n"/>
      <c r="E144" s="89" t="n"/>
      <c r="F144" s="49" t="n"/>
      <c r="G144" s="49" t="n"/>
      <c r="H144" s="49" t="n"/>
      <c r="J144" s="78" t="inlineStr">
        <is>
          <t>RODRIGUEZ FLOREZ JUAN FELIPE</t>
        </is>
      </c>
    </row>
    <row r="145">
      <c r="A145" s="78">
        <f>VALUE(maestro2[[#This Row],[Cedula]])</f>
        <v/>
      </c>
      <c r="B145" s="49" t="n">
        <v>1002901033</v>
      </c>
      <c r="C145" s="49" t="inlineStr">
        <is>
          <t>VALENCIA RAMIREZ NIXON HERNEY</t>
        </is>
      </c>
      <c r="D145" s="89" t="n"/>
      <c r="E145" s="89" t="n"/>
      <c r="F145" s="49" t="n"/>
      <c r="G145" s="49" t="n"/>
      <c r="H145" s="49" t="n"/>
      <c r="J145" s="78" t="inlineStr">
        <is>
          <t>VALENCIA RAMIREZ NIXON HERNEY</t>
        </is>
      </c>
    </row>
    <row r="146">
      <c r="A146" s="78">
        <f>VALUE(maestro2[[#This Row],[Cedula]])</f>
        <v/>
      </c>
      <c r="B146" s="49" t="n">
        <v>1002901077</v>
      </c>
      <c r="C146" s="49" t="inlineStr">
        <is>
          <t>FLOREZ AGUDELO MARIA DANIELA</t>
        </is>
      </c>
      <c r="J146" s="78" t="e">
        <v>#N/A</v>
      </c>
    </row>
    <row r="147">
      <c r="A147" s="78">
        <f>VALUE(maestro2[[#This Row],[Cedula]])</f>
        <v/>
      </c>
      <c r="B147" s="49" t="n">
        <v>1002969887</v>
      </c>
      <c r="C147" s="49" t="inlineStr">
        <is>
          <t>GOMEZ GRISALES JUAN SEBASTIAN</t>
        </is>
      </c>
      <c r="J147" s="78" t="e">
        <v>#N/A</v>
      </c>
    </row>
    <row r="148">
      <c r="A148" s="78">
        <f>VALUE(maestro2[[#This Row],[Cedula]])</f>
        <v/>
      </c>
      <c r="B148" s="49" t="n">
        <v>1005088926</v>
      </c>
      <c r="C148" s="49" t="inlineStr">
        <is>
          <t>BEDOYA SUAREZ JOSE DARIO</t>
        </is>
      </c>
      <c r="D148" s="92" t="n"/>
      <c r="E148" s="92" t="n"/>
      <c r="F148" s="93" t="n"/>
      <c r="G148" s="93" t="n"/>
      <c r="H148" s="93" t="n"/>
      <c r="J148" s="78" t="inlineStr">
        <is>
          <t>BEDOYA SUAREZ JOSE DARIO</t>
        </is>
      </c>
    </row>
    <row r="149">
      <c r="A149" s="78">
        <f>VALUE(maestro2[[#This Row],[Cedula]])</f>
        <v/>
      </c>
      <c r="B149" s="49" t="n">
        <v>1005089085</v>
      </c>
      <c r="C149" s="49" t="inlineStr">
        <is>
          <t>DIAZ ACEVEDO HAROLD IGNACIO</t>
        </is>
      </c>
      <c r="D149" s="92" t="n"/>
      <c r="E149" s="92" t="n"/>
      <c r="F149" s="93" t="n"/>
      <c r="G149" s="93" t="n"/>
      <c r="H149" s="93" t="n"/>
      <c r="J149" s="78" t="inlineStr">
        <is>
          <t>DIAZ ACEVEDO HAROLD IGNACIO</t>
        </is>
      </c>
    </row>
    <row r="150">
      <c r="A150" s="78">
        <f>VALUE(maestro2[[#This Row],[Cedula]])</f>
        <v/>
      </c>
      <c r="B150" s="49" t="n">
        <v>1005098717</v>
      </c>
      <c r="C150" s="49" t="inlineStr">
        <is>
          <t>GAÑAN BUENO SAMUEL HUMBERTO</t>
        </is>
      </c>
      <c r="D150" s="89" t="n"/>
      <c r="E150" s="89" t="n"/>
      <c r="F150" s="49" t="n"/>
      <c r="G150" s="49" t="n"/>
      <c r="H150" s="49" t="n"/>
      <c r="J150" s="78" t="inlineStr">
        <is>
          <t>GAÑAN BUENO SAMUEL HUMBERTO</t>
        </is>
      </c>
    </row>
    <row r="151">
      <c r="A151" s="78">
        <f>VALUE(maestro2[[#This Row],[Cedula]])</f>
        <v/>
      </c>
      <c r="B151" s="49" t="n">
        <v>1007224481</v>
      </c>
      <c r="C151" s="49" t="inlineStr">
        <is>
          <t>BOTERO NEQUIRUCAMA YEISON ESTIVEN</t>
        </is>
      </c>
      <c r="D151" s="89" t="n"/>
      <c r="E151" s="89" t="n"/>
      <c r="F151" s="49" t="n"/>
      <c r="G151" s="49" t="n"/>
      <c r="H151" s="49" t="n"/>
      <c r="J151" s="78" t="inlineStr">
        <is>
          <t>BOTERO NEQUIRUCAMA YEISON ESTIVEN</t>
        </is>
      </c>
    </row>
    <row r="152">
      <c r="A152" s="78">
        <f>VALUE(maestro2[[#This Row],[Cedula]])</f>
        <v/>
      </c>
      <c r="B152" s="49" t="n">
        <v>1007227275</v>
      </c>
      <c r="C152" s="49" t="inlineStr">
        <is>
          <t>JIMENEZ BENAVIDES MARIANA</t>
        </is>
      </c>
      <c r="D152" s="89" t="n"/>
      <c r="E152" s="89" t="n"/>
      <c r="F152" s="49" t="n"/>
      <c r="G152" s="49" t="n"/>
      <c r="H152" s="49" t="n"/>
      <c r="J152" s="78" t="inlineStr">
        <is>
          <t>JIMENEZ BENAVIDES MARIANA</t>
        </is>
      </c>
    </row>
    <row r="153">
      <c r="A153" s="78">
        <f>VALUE(maestro2[[#This Row],[Cedula]])</f>
        <v/>
      </c>
      <c r="B153" s="49" t="n">
        <v>1007441856</v>
      </c>
      <c r="C153" s="49" t="inlineStr">
        <is>
          <t>BUENO GANON LUIS MANUEL</t>
        </is>
      </c>
      <c r="D153" s="89" t="n"/>
      <c r="E153" s="89" t="n"/>
      <c r="F153" s="49" t="n"/>
      <c r="G153" s="49" t="n"/>
      <c r="H153" s="49" t="n"/>
      <c r="J153" s="78" t="inlineStr">
        <is>
          <t>BUENO GANON LUIS MANUEL</t>
        </is>
      </c>
    </row>
    <row r="154">
      <c r="A154" s="78">
        <f>VALUE(maestro2[[#This Row],[Cedula]])</f>
        <v/>
      </c>
      <c r="B154" s="49" t="n">
        <v>1007593984</v>
      </c>
      <c r="C154" s="49" t="inlineStr">
        <is>
          <t>TRILLERAS SANCHEZ JULIAN ALEXIS</t>
        </is>
      </c>
      <c r="D154" s="89" t="n"/>
      <c r="E154" s="89" t="n"/>
      <c r="F154" s="49" t="n"/>
      <c r="G154" s="49" t="n"/>
      <c r="H154" s="49" t="n"/>
      <c r="J154" s="78" t="e">
        <v>#N/A</v>
      </c>
    </row>
    <row r="155">
      <c r="A155" s="78">
        <f>VALUE(maestro2[[#This Row],[Cedula]])</f>
        <v/>
      </c>
      <c r="B155" s="49" t="n">
        <v>1007651838</v>
      </c>
      <c r="C155" s="49" t="inlineStr">
        <is>
          <t>DIAZ RODRIGUEZ RONALD SNEIDER</t>
        </is>
      </c>
      <c r="D155" s="89" t="n"/>
      <c r="E155" s="89" t="n"/>
      <c r="F155" s="49" t="n"/>
      <c r="G155" s="49" t="n"/>
      <c r="H155" s="49" t="n"/>
      <c r="J155" s="78" t="inlineStr">
        <is>
          <t>DIAZ RODRIGUEZ RONALD SNEIDER</t>
        </is>
      </c>
    </row>
    <row r="156">
      <c r="A156" s="78">
        <f>VALUE(maestro2[[#This Row],[Cedula]])</f>
        <v/>
      </c>
      <c r="B156" s="49" t="n">
        <v>1007651973</v>
      </c>
      <c r="C156" s="49" t="inlineStr">
        <is>
          <t>RIOS HERRERA YENIFER LEANDRA</t>
        </is>
      </c>
      <c r="D156" s="89" t="n"/>
      <c r="E156" s="89" t="n"/>
      <c r="F156" s="49" t="n"/>
      <c r="G156" s="49" t="n"/>
      <c r="H156" s="49" t="n"/>
      <c r="J156" s="78" t="inlineStr">
        <is>
          <t>RIOS HERRERA YENIFER LEANDRA</t>
        </is>
      </c>
    </row>
    <row r="157">
      <c r="A157" s="78">
        <f>VALUE(maestro2[[#This Row],[Cedula]])</f>
        <v/>
      </c>
      <c r="B157" s="49" t="n">
        <v>1007694183</v>
      </c>
      <c r="C157" s="49" t="inlineStr">
        <is>
          <t>BAÑOL TAPASCO YEISON ESTIVEN</t>
        </is>
      </c>
      <c r="D157" s="89" t="n"/>
      <c r="E157" s="89" t="n"/>
      <c r="F157" s="49" t="n"/>
      <c r="G157" s="49" t="n"/>
      <c r="H157" s="49" t="n"/>
      <c r="J157" s="78" t="inlineStr">
        <is>
          <t>BAÑOL TAPASCO YEISON ESTIVEN</t>
        </is>
      </c>
    </row>
    <row r="158">
      <c r="A158" s="78">
        <f>VALUE(maestro2[[#This Row],[Cedula]])</f>
        <v/>
      </c>
      <c r="B158" s="49" t="n">
        <v>1007808097</v>
      </c>
      <c r="C158" s="49" t="inlineStr">
        <is>
          <t>CHALARCA GARCIA KEVIN GIOVANY</t>
        </is>
      </c>
      <c r="D158" s="89" t="n"/>
      <c r="E158" s="89" t="n"/>
      <c r="F158" s="49" t="n"/>
      <c r="G158" s="49" t="n"/>
      <c r="H158" s="49" t="n"/>
      <c r="J158" s="78" t="e">
        <v>#N/A</v>
      </c>
    </row>
    <row r="159">
      <c r="A159" s="78">
        <f>VALUE(maestro2[[#This Row],[Cedula]])</f>
        <v/>
      </c>
      <c r="B159" s="49" t="n">
        <v>1007808107</v>
      </c>
      <c r="C159" s="49" t="inlineStr">
        <is>
          <t>LENGUA CALVO CARLOS FERNANDO</t>
        </is>
      </c>
      <c r="D159" s="89" t="n"/>
      <c r="E159" s="89" t="n"/>
      <c r="F159" s="49" t="n"/>
      <c r="G159" s="49" t="n"/>
      <c r="H159" s="49" t="n"/>
      <c r="J159" s="78" t="inlineStr">
        <is>
          <t>LENGUA CALVO CARLOS FERNANDO</t>
        </is>
      </c>
    </row>
  </sheetData>
  <pageMargins left="0.7" right="0.7" top="0.75" bottom="0.75" header="0.511811023622047" footer="0.511811023622047"/>
  <pageSetup orientation="portrait" horizontalDpi="300" verticalDpi="300"/>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2:H9"/>
  <sheetViews>
    <sheetView showGridLines="0" zoomScaleNormal="100" workbookViewId="0">
      <selection activeCell="D14" sqref="D14"/>
    </sheetView>
  </sheetViews>
  <sheetFormatPr baseColWidth="10" defaultColWidth="9.1796875" defaultRowHeight="11.5"/>
  <cols>
    <col width="1.54296875" customWidth="1" style="24" min="1" max="1"/>
    <col width="17.1796875" customWidth="1" style="24" min="2" max="2"/>
    <col width="41" customWidth="1" style="24" min="3" max="3"/>
    <col width="38" customWidth="1" style="24" min="4" max="4"/>
    <col width="14.54296875" customWidth="1" style="24" min="5" max="5"/>
    <col width="34.7265625" customWidth="1" style="24" min="6" max="6"/>
    <col width="40.36328125" customWidth="1" style="24" min="7" max="7"/>
    <col width="9.1796875" customWidth="1" style="24" min="8" max="16384"/>
  </cols>
  <sheetData>
    <row r="2" ht="14.25" customHeight="1">
      <c r="B2" s="25" t="n"/>
      <c r="C2" s="101" t="inlineStr">
        <is>
          <t>FORMATO GENERAL DE REPORTE DE NOVEDADES</t>
        </is>
      </c>
    </row>
    <row r="3" ht="14.9" customHeight="1">
      <c r="B3" s="25" t="n"/>
      <c r="C3" s="102" t="inlineStr">
        <is>
          <t>COLLECTIVE MINING</t>
        </is>
      </c>
    </row>
    <row r="4">
      <c r="B4" s="25" t="n"/>
      <c r="C4" s="26" t="n"/>
      <c r="D4" s="27" t="n"/>
      <c r="E4" s="28" t="n"/>
      <c r="F4" s="26" t="n"/>
      <c r="G4" s="26" t="n"/>
    </row>
    <row r="5" ht="31.5" customHeight="1">
      <c r="B5" s="25" t="n"/>
      <c r="C5" s="26" t="n"/>
      <c r="D5" s="27" t="n"/>
      <c r="E5" s="28" t="n"/>
      <c r="F5" s="26" t="n"/>
      <c r="G5" s="26" t="n"/>
    </row>
    <row r="6" ht="12.75" customHeight="1">
      <c r="B6" s="25" t="n"/>
      <c r="C6" s="26" t="n"/>
      <c r="D6" s="29" t="inlineStr">
        <is>
          <t>FILTRO</t>
        </is>
      </c>
      <c r="E6" s="29" t="inlineStr">
        <is>
          <t>TOTAL REGISTROS</t>
        </is>
      </c>
      <c r="F6" s="29" t="inlineStr">
        <is>
          <t>INSTRUCIONES</t>
        </is>
      </c>
    </row>
    <row r="7" ht="20.25" customHeight="1">
      <c r="B7" s="25" t="n"/>
      <c r="C7" s="30" t="n"/>
      <c r="D7" s="94" t="n"/>
      <c r="E7" s="95">
        <f>IF(D7="",COUNTA(ReporteNovedadesAU4[Cambio]),COUNTIF(ReporteNovedadesAU4[Cambio],D7))</f>
        <v/>
      </c>
      <c r="F7" s="95" t="n"/>
    </row>
    <row r="8" ht="27" customHeight="1">
      <c r="B8" s="33" t="inlineStr">
        <is>
          <t>Identificación</t>
        </is>
      </c>
      <c r="C8" s="33" t="inlineStr">
        <is>
          <t>Nombre</t>
        </is>
      </c>
      <c r="D8" s="33" t="inlineStr">
        <is>
          <t>Cambio</t>
        </is>
      </c>
      <c r="E8" s="33" t="inlineStr">
        <is>
          <t>Fecha Inicial</t>
        </is>
      </c>
      <c r="F8" s="33" t="inlineStr">
        <is>
          <t>cambio a</t>
        </is>
      </c>
      <c r="G8" s="33" t="inlineStr">
        <is>
          <t>observaciones</t>
        </is>
      </c>
    </row>
    <row r="9" ht="12.5" customHeight="1">
      <c r="B9" s="66" t="n"/>
      <c r="C9" s="71" t="n"/>
      <c r="D9" s="72" t="n"/>
      <c r="E9" s="96" t="n"/>
      <c r="F9" s="66" t="n"/>
      <c r="G9" s="97" t="n"/>
    </row>
  </sheetData>
  <sheetProtection selectLockedCells="0" selectUnlockedCells="0" algorithmName="SHA-512" sheet="1" objects="1" insertRows="1" insertHyperlinks="1" autoFilter="0" scenarios="1" formatColumns="0" deleteColumns="0" insertColumns="0" pivotTables="1" deleteRows="1" formatCells="0" saltValue="ek7B9sUtw5UdgYqANS5ZNA==" formatRows="0" sort="0" spinCount="100000" hashValue="OC5pe/ZfMNb/9R2hWbWEmIrLXbaJjAGKzGw0s5KIKBEn394TDSvqFVpnoCO66u2wcGB14WvEkc0jHV/CIibhmQ=="/>
  <mergeCells count="2">
    <mergeCell ref="C2:H2"/>
    <mergeCell ref="C3:H3"/>
  </mergeCells>
  <conditionalFormatting sqref="C9:G87">
    <cfRule type="expression" priority="4" dxfId="2">
      <formula>IF(AND(#REF!="",#REF!=""),1,0)</formula>
    </cfRule>
  </conditionalFormatting>
  <conditionalFormatting sqref="E9:E87">
    <cfRule type="expression" priority="3" dxfId="0">
      <formula>IF(AND($D9&lt;&gt;"",$E9=""),1,0)</formula>
    </cfRule>
  </conditionalFormatting>
  <conditionalFormatting sqref="F9:F87">
    <cfRule type="expression" priority="2" dxfId="0">
      <formula>IF(AND($D9&lt;&gt;"",$F9=""),1,0)</formula>
    </cfRule>
  </conditionalFormatting>
  <dataValidations count="2">
    <dataValidation sqref="B9:B87" showDropDown="0" showInputMessage="1" showErrorMessage="1" allowBlank="1" type="list">
      <formula1>Cedula</formula1>
      <formula2>0</formula2>
    </dataValidation>
    <dataValidation sqref="D9:D87" showDropDown="0" showInputMessage="1" showErrorMessage="1" allowBlank="1" type="list">
      <formula1>IF($B9&lt;&gt;"",cam,"")</formula1>
      <formula2>0</formula2>
    </dataValidation>
  </dataValidations>
  <pageMargins left="0.7" right="0.7" top="0.75" bottom="0.75" header="0.511811023622047" footer="0.511811023622047"/>
  <pageSetup orientation="portrait" paperSize="9" horizontalDpi="300" verticalDpi="300"/>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ALEXANDER ORJUELA HURTADO</dc:creator>
  <dc:language xmlns:dc="http://purl.org/dc/elements/1.1/">en-US</dc:language>
  <dcterms:created xmlns:dcterms="http://purl.org/dc/terms/" xmlns:xsi="http://www.w3.org/2001/XMLSchema-instance" xsi:type="dcterms:W3CDTF">2026-02-11T20:03:07Z</dcterms:created>
  <dcterms:modified xmlns:dcterms="http://purl.org/dc/terms/" xmlns:xsi="http://www.w3.org/2001/XMLSchema-instance" xsi:type="dcterms:W3CDTF">2026-04-20T18:44:49Z</dcterms:modified>
  <cp:lastModifiedBy>Juan Esteban Calle</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0x0101006AF94F2999006E4B8CBF476673B37032</vt:lpwstr>
  </property>
</Properties>
</file>